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" sheetId="2" state="visible" r:id="rId2"/>
    <sheet name="DATA_SCENARIOS" sheetId="3" state="visible" r:id="rId3"/>
    <sheet name="DATA_ACTUALS" sheetId="4" state="visible" r:id="rId4"/>
    <sheet name="DATA_SEGMENTS" sheetId="5" state="visible" r:id="rId5"/>
    <sheet name="DATA_CHANNELS" sheetId="6" state="visible" r:id="rId6"/>
    <sheet name="CALC_UNIT_ECON" sheetId="7" state="visible" r:id="rId7"/>
    <sheet name="CALC_FORECAST" sheetId="8" state="visible" r:id="rId8"/>
    <sheet name="OUT_SUMMARY" sheetId="9" state="visible" r:id="rId9"/>
    <sheet name="DATA_SQL_CHECK" sheetId="10" state="visible" r:id="rId10"/>
    <sheet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(#,##0)"/>
    <numFmt numFmtId="165" formatCode="0.0%"/>
    <numFmt numFmtId="166" formatCode="0.0000"/>
    <numFmt numFmtId="167" formatCode="#,##0.00;[Red](#,##0.00)"/>
    <numFmt numFmtId="168" formatCode="0.00000"/>
    <numFmt numFmtId="169" formatCode="0.000"/>
    <numFmt numFmtId="170" formatCode="0.0000%"/>
  </numFmts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000000"/>
    </font>
    <font>
      <b val="1"/>
      <color rgb="FF1F3864"/>
    </font>
    <font>
      <color rgb="FF0000FF"/>
    </font>
    <font>
      <color rgb="FF008000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wrapText="1"/>
    </xf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7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7" fontId="5" fillId="0" borderId="0" pivotButton="0" quotePrefix="0" xfId="0"/>
    <xf numFmtId="167" fontId="2" fillId="0" borderId="0" pivotButton="0" quotePrefix="0" xfId="0"/>
    <xf numFmtId="4" fontId="5" fillId="0" borderId="0" pivotButton="0" quotePrefix="0" xfId="0"/>
    <xf numFmtId="169" fontId="5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2">
      <c r="B2" s="1" t="inlineStr">
        <is>
          <t>Northwind Cloud — unit economics and runway model</t>
        </is>
      </c>
    </row>
    <row r="3">
      <c r="B3" s="2" t="inlineStr">
        <is>
          <t>Board question: does the current sales machine pay back, and should we add $180k/month of SDR capacity?</t>
        </is>
      </c>
    </row>
    <row r="5">
      <c r="B5" s="2" t="inlineStr"/>
      <c r="C5" s="2" t="inlineStr"/>
    </row>
    <row r="6">
      <c r="B6" s="3" t="inlineStr">
        <is>
          <t>HOW TO USE</t>
        </is>
      </c>
      <c r="C6" s="2" t="inlineStr"/>
    </row>
    <row r="7">
      <c r="B7" s="2" t="inlineStr">
        <is>
          <t>1.</t>
        </is>
      </c>
      <c r="C7" s="2" t="inlineStr">
        <is>
          <t>Open CONTROL and pick a scenario in the blue cell B3. Every downstream number moves.</t>
        </is>
      </c>
    </row>
    <row r="8">
      <c r="B8" s="2" t="inlineStr">
        <is>
          <t>2.</t>
        </is>
      </c>
      <c r="C8" s="2" t="inlineStr">
        <is>
          <t>All other blue cells on CONTROL are live assumptions. Change one and the model recalculates.</t>
        </is>
      </c>
    </row>
    <row r="9">
      <c r="B9" s="2" t="inlineStr">
        <is>
          <t>3.</t>
        </is>
      </c>
      <c r="C9" s="2" t="inlineStr">
        <is>
          <t>CHECKS reconciles this workbook against the SQL warehouse. Every row must read PASS.</t>
        </is>
      </c>
    </row>
    <row r="10">
      <c r="B10" s="2" t="inlineStr"/>
      <c r="C10" s="2" t="inlineStr"/>
    </row>
    <row r="11">
      <c r="B11" s="3" t="inlineStr">
        <is>
          <t>COLOUR CONVENTION</t>
        </is>
      </c>
      <c r="C11" s="2" t="inlineStr"/>
    </row>
    <row r="12">
      <c r="B12" s="4" t="inlineStr">
        <is>
          <t>Blue</t>
        </is>
      </c>
      <c r="C12" s="2" t="inlineStr">
        <is>
          <t>Hard input. The only cells a user should type into.</t>
        </is>
      </c>
    </row>
    <row r="13">
      <c r="B13" s="2" t="inlineStr">
        <is>
          <t>Black</t>
        </is>
      </c>
      <c r="C13" s="2" t="inlineStr">
        <is>
          <t>Formula computed on this sheet.</t>
        </is>
      </c>
    </row>
    <row r="14">
      <c r="B14" s="5" t="inlineStr">
        <is>
          <t>Green</t>
        </is>
      </c>
      <c r="C14" s="2" t="inlineStr">
        <is>
          <t>Formula referencing another sheet.</t>
        </is>
      </c>
    </row>
    <row r="15">
      <c r="B15" s="2" t="inlineStr"/>
      <c r="C15" s="2" t="inlineStr"/>
    </row>
    <row r="16">
      <c r="B16" s="3" t="inlineStr">
        <is>
          <t>SHEETS</t>
        </is>
      </c>
      <c r="C16" s="2" t="inlineStr"/>
    </row>
    <row r="17">
      <c r="B17" s="2" t="inlineStr">
        <is>
          <t>CONTROL</t>
        </is>
      </c>
      <c r="C17" s="2" t="inlineStr">
        <is>
          <t>Scenario switch and every assumption the model uses.</t>
        </is>
      </c>
    </row>
    <row r="18">
      <c r="B18" s="2" t="inlineStr">
        <is>
          <t>DATA_ACTUALS</t>
        </is>
      </c>
      <c r="C18" s="2" t="inlineStr">
        <is>
          <t>36 months of actuals from the warehouse. Input only.</t>
        </is>
      </c>
    </row>
    <row r="19">
      <c r="B19" s="2" t="inlineStr">
        <is>
          <t>DATA_CHANNELS</t>
        </is>
      </c>
      <c r="C19" s="2" t="inlineStr">
        <is>
          <t>Trailing-12-month cost pools and behaviour by channel.</t>
        </is>
      </c>
    </row>
    <row r="20">
      <c r="B20" s="2" t="inlineStr">
        <is>
          <t>DATA_SEGMENTS</t>
        </is>
      </c>
      <c r="C20" s="2" t="inlineStr">
        <is>
          <t>Segment margins, retention, outbound ACV, sales-cycle lag.</t>
        </is>
      </c>
    </row>
    <row r="21">
      <c r="B21" s="2" t="inlineStr">
        <is>
          <t>DATA_SCENARIOS</t>
        </is>
      </c>
      <c r="C21" s="2" t="inlineStr">
        <is>
          <t>The three scenarios, one column each.</t>
        </is>
      </c>
    </row>
    <row r="22">
      <c r="B22" s="2" t="inlineStr">
        <is>
          <t>DATA_SQL_CHECK</t>
        </is>
      </c>
      <c r="C22" s="2" t="inlineStr">
        <is>
          <t>Reference values produced by the SQL library and the Python cash model, used by CHECKS.</t>
        </is>
      </c>
    </row>
    <row r="23">
      <c r="B23" s="2" t="inlineStr">
        <is>
          <t>CALC_UNIT_ECON</t>
        </is>
      </c>
      <c r="C23" s="2" t="inlineStr">
        <is>
          <t>CAC, LTV and payback by channel — all formulas.</t>
        </is>
      </c>
    </row>
    <row r="24">
      <c r="B24" s="2" t="inlineStr">
        <is>
          <t>CALC_FORECAST</t>
        </is>
      </c>
      <c r="C24" s="2" t="inlineStr">
        <is>
          <t>Holt recursion, SDR saturation curve, cohort compounding, cash roll-forward — all formulas.</t>
        </is>
      </c>
    </row>
    <row r="25">
      <c r="B25" s="2" t="inlineStr">
        <is>
          <t>OUT_SUMMARY</t>
        </is>
      </c>
      <c r="C25" s="2" t="inlineStr">
        <is>
          <t>The one-page answer.</t>
        </is>
      </c>
    </row>
    <row r="26">
      <c r="B26" s="2" t="inlineStr">
        <is>
          <t>CHECKS</t>
        </is>
      </c>
      <c r="C26" s="2" t="inlineStr">
        <is>
          <t>Excel vs SQL reconciliation, PASS/FAIL.</t>
        </is>
      </c>
    </row>
    <row r="27">
      <c r="B27" s="2" t="inlineStr"/>
      <c r="C27" s="2" t="inlineStr"/>
    </row>
    <row r="28">
      <c r="B28" s="3" t="inlineStr">
        <is>
          <t>PROVENANCE</t>
        </is>
      </c>
      <c r="C28" s="2" t="inlineStr">
        <is>
          <t>Synthetic data generated by src/01_generate_data.py (seeded, deterministic). The company is fictional; the method is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1" t="inlineStr">
        <is>
          <t>CONTROL PANEL</t>
        </is>
      </c>
    </row>
    <row r="3">
      <c r="A3" s="3" t="inlineStr">
        <is>
          <t>Scenario (pick one)</t>
        </is>
      </c>
      <c r="B3" s="6" t="inlineStr">
        <is>
          <t>selective</t>
        </is>
      </c>
      <c r="C3" s="2" t="inlineStr">
        <is>
          <t>&lt;- blue cell: change this and the whole model moves</t>
        </is>
      </c>
    </row>
    <row r="4">
      <c r="A4" s="2" t="inlineStr">
        <is>
          <t>Scenario column index</t>
        </is>
      </c>
      <c r="B4" s="7">
        <f>MATCH($B$3,DATA_SCENARIOS!$B$1:$D$1,0)</f>
        <v/>
      </c>
    </row>
    <row r="6">
      <c r="A6" s="3" t="inlineStr">
        <is>
          <t>ASSUMPTIONS (blue = editable input)</t>
        </is>
      </c>
    </row>
    <row r="7">
      <c r="A7" s="2" t="inlineStr">
        <is>
          <t>Cash on hand ($)</t>
        </is>
      </c>
      <c r="B7" s="8" t="n">
        <v>6100000</v>
      </c>
      <c r="C7" s="2" t="inlineStr">
        <is>
          <t>As at 2026-08-31, per the CEO</t>
        </is>
      </c>
    </row>
    <row r="8">
      <c r="A8" s="2" t="inlineStr">
        <is>
          <t>Board minimum runway (months)</t>
        </is>
      </c>
      <c r="B8" s="9" t="n">
        <v>18</v>
      </c>
      <c r="C8" s="2" t="inlineStr">
        <is>
          <t>The guardrail the board applies</t>
        </is>
      </c>
    </row>
    <row r="9">
      <c r="A9" s="2" t="inlineStr">
        <is>
          <t>CAC payback hurdle (months)</t>
        </is>
      </c>
      <c r="B9" s="9" t="n">
        <v>18</v>
      </c>
      <c r="C9" s="2" t="inlineStr">
        <is>
          <t>Set equal to runway: we cannot fund a payback longer than our cash</t>
        </is>
      </c>
    </row>
    <row r="10">
      <c r="A10" s="2" t="inlineStr">
        <is>
          <t>Holt alpha (level)</t>
        </is>
      </c>
      <c r="B10" s="9" t="n">
        <v>0.6000000000000001</v>
      </c>
      <c r="C10" s="2" t="inlineStr">
        <is>
          <t>Grid-searched on in-sample one-step SSE in src/04</t>
        </is>
      </c>
    </row>
    <row r="11">
      <c r="A11" s="2" t="inlineStr">
        <is>
          <t>Holt beta (trend)</t>
        </is>
      </c>
      <c r="B11" s="9" t="n">
        <v>0.45</v>
      </c>
      <c r="C11" s="2" t="inlineStr">
        <is>
          <t>Same fit. Holt won the rolling-origin backtest</t>
        </is>
      </c>
    </row>
    <row r="12">
      <c r="A12" s="2" t="inlineStr">
        <is>
          <t>COGS % of revenue</t>
        </is>
      </c>
      <c r="B12" s="10" t="n">
        <v>0.2171720695697519</v>
      </c>
      <c r="C12" s="2" t="inlineStr">
        <is>
          <t>Trailing 3 months</t>
        </is>
      </c>
    </row>
    <row r="13">
      <c r="A13" s="2" t="inlineStr">
        <is>
          <t>S&amp;M % of revenue (base book)</t>
        </is>
      </c>
      <c r="B13" s="10" t="n">
        <v>0.6507525130123312</v>
      </c>
      <c r="C13" s="2" t="inlineStr">
        <is>
          <t>Current spending policy held constant</t>
        </is>
      </c>
    </row>
    <row r="14">
      <c r="A14" s="2" t="inlineStr">
        <is>
          <t>R&amp;D $/month at month 0</t>
        </is>
      </c>
      <c r="B14" s="8" t="n">
        <v>325359.5166666667</v>
      </c>
      <c r="C14" s="2" t="inlineStr">
        <is>
          <t>Headcount held flat</t>
        </is>
      </c>
    </row>
    <row r="15">
      <c r="A15" s="2" t="inlineStr">
        <is>
          <t>G&amp;A $/month at month 0</t>
        </is>
      </c>
      <c r="B15" s="8" t="n">
        <v>138525.79</v>
      </c>
      <c r="C15" s="2" t="inlineStr">
        <is>
          <t>Headcount held flat</t>
        </is>
      </c>
    </row>
    <row r="16">
      <c r="A16" s="2" t="inlineStr">
        <is>
          <t>Opex inflation (annual)</t>
        </is>
      </c>
      <c r="B16" s="10" t="n">
        <v>0.025</v>
      </c>
      <c r="C16" s="2" t="inlineStr">
        <is>
          <t>Applied to R&amp;D and G&amp;A</t>
        </is>
      </c>
    </row>
    <row r="17">
      <c r="A17" s="2" t="inlineStr">
        <is>
          <t>SDR meetings/rep at small team</t>
        </is>
      </c>
      <c r="B17" s="9" t="n">
        <v>12.5</v>
      </c>
      <c r="C17" s="2" t="inlineStr">
        <is>
          <t>Observed when the team was 4 or fewer</t>
        </is>
      </c>
    </row>
    <row r="18">
      <c r="A18" s="2" t="inlineStr">
        <is>
          <t>SDR saturation team size</t>
        </is>
      </c>
      <c r="B18" s="9" t="n">
        <v>4</v>
      </c>
      <c r="C18" s="2" t="inlineStr">
        <is>
          <t>Above this, meetings per rep decay</t>
        </is>
      </c>
    </row>
    <row r="19">
      <c r="A19" s="2" t="inlineStr">
        <is>
          <t>SDR saturation exponent</t>
        </is>
      </c>
      <c r="B19" s="9" t="n">
        <v>0.34</v>
      </c>
      <c r="C19" s="2" t="inlineStr">
        <is>
          <t>per_rep(N) = base * (N0/N)^exponent</t>
        </is>
      </c>
    </row>
    <row r="20">
      <c r="A20" s="2" t="inlineStr">
        <is>
          <t>Current SDR heads</t>
        </is>
      </c>
      <c r="B20" s="9" t="n">
        <v>9</v>
      </c>
      <c r="C20" s="2" t="inlineStr">
        <is>
          <t>From the headcount ledger</t>
        </is>
      </c>
    </row>
    <row r="21">
      <c r="A21" s="2" t="inlineStr">
        <is>
          <t>Outbound meeting -&gt; win rate</t>
        </is>
      </c>
      <c r="B21" s="11" t="n">
        <v>0.04554455445544554</v>
      </c>
      <c r="C21" s="2" t="inlineStr">
        <is>
          <t>Observed over the trailing 12 months</t>
        </is>
      </c>
    </row>
    <row r="22">
      <c r="A22" s="2" t="inlineStr">
        <is>
          <t>Commission on new ACV</t>
        </is>
      </c>
      <c r="B22" s="10" t="n">
        <v>0.1</v>
      </c>
      <c r="C22" s="2" t="inlineStr">
        <is>
          <t>Per the plan</t>
        </is>
      </c>
    </row>
    <row r="23">
      <c r="A23" s="2" t="inlineStr">
        <is>
          <t>Paid Social spend run-rate ($/mo)</t>
        </is>
      </c>
      <c r="B23" s="8" t="n">
        <v>75500</v>
      </c>
      <c r="C23" s="2" t="inlineStr">
        <is>
          <t>Trailing 3 months</t>
        </is>
      </c>
    </row>
    <row r="24">
      <c r="A24" s="2" t="inlineStr">
        <is>
          <t>Paid Social new MRR run-rate ($/mo)</t>
        </is>
      </c>
      <c r="B24" s="8" t="n">
        <v>1170</v>
      </c>
      <c r="C24" s="2" t="inlineStr">
        <is>
          <t>Trailing 3 months — lost if the channel is switched off</t>
        </is>
      </c>
    </row>
    <row r="26">
      <c r="A26" s="3" t="inlineStr">
        <is>
          <t>ACTIVE SCENARIO PARAMETERS (driven by B3)</t>
        </is>
      </c>
    </row>
    <row r="27">
      <c r="A27" s="2" t="inlineStr">
        <is>
          <t>sdr_heads_added</t>
        </is>
      </c>
      <c r="B27" s="12">
        <f>INDEX(DATA_SCENARIOS!$B$2:$D$12,MATCH($A27,DATA_SCENARIOS!$A$2:$A$12,0),$B$4)</f>
        <v/>
      </c>
    </row>
    <row r="28">
      <c r="A28" s="2" t="inlineStr">
        <is>
          <t>list_overlap</t>
        </is>
      </c>
      <c r="B28" s="12">
        <f>INDEX(DATA_SCENARIOS!$B$2:$D$12,MATCH($A28,DATA_SCENARIOS!$A$2:$A$12,0),$B$4)</f>
        <v/>
      </c>
    </row>
    <row r="29">
      <c r="A29" s="2" t="inlineStr">
        <is>
          <t>monthly_cost</t>
        </is>
      </c>
      <c r="B29" s="12">
        <f>INDEX(DATA_SCENARIOS!$B$2:$D$12,MATCH($A29,DATA_SCENARIOS!$A$2:$A$12,0),$B$4)</f>
        <v/>
      </c>
    </row>
    <row r="30">
      <c r="A30" s="2" t="inlineStr">
        <is>
          <t>hire_lag_months</t>
        </is>
      </c>
      <c r="B30" s="12">
        <f>INDEX(DATA_SCENARIOS!$B$2:$D$12,MATCH($A30,DATA_SCENARIOS!$A$2:$A$12,0),$B$4)</f>
        <v/>
      </c>
    </row>
    <row r="31">
      <c r="A31" s="2" t="inlineStr">
        <is>
          <t>ramp_month_1</t>
        </is>
      </c>
      <c r="B31" s="12">
        <f>INDEX(DATA_SCENARIOS!$B$2:$D$12,MATCH($A31,DATA_SCENARIOS!$A$2:$A$12,0),$B$4)</f>
        <v/>
      </c>
    </row>
    <row r="32">
      <c r="A32" s="2" t="inlineStr">
        <is>
          <t>ramp_month_2</t>
        </is>
      </c>
      <c r="B32" s="12">
        <f>INDEX(DATA_SCENARIOS!$B$2:$D$12,MATCH($A32,DATA_SCENARIOS!$A$2:$A$12,0),$B$4)</f>
        <v/>
      </c>
    </row>
    <row r="33">
      <c r="A33" s="2" t="inlineStr">
        <is>
          <t>ramp_month_3</t>
        </is>
      </c>
      <c r="B33" s="12">
        <f>INDEX(DATA_SCENARIOS!$B$2:$D$12,MATCH($A33,DATA_SCENARIOS!$A$2:$A$12,0),$B$4)</f>
        <v/>
      </c>
    </row>
    <row r="34">
      <c r="A34" s="2" t="inlineStr">
        <is>
          <t>seg_mix_SMB</t>
        </is>
      </c>
      <c r="B34" s="12">
        <f>INDEX(DATA_SCENARIOS!$B$2:$D$12,MATCH($A34,DATA_SCENARIOS!$A$2:$A$12,0),$B$4)</f>
        <v/>
      </c>
    </row>
    <row r="35">
      <c r="A35" s="2" t="inlineStr">
        <is>
          <t>seg_mix_MidMarket</t>
        </is>
      </c>
      <c r="B35" s="12">
        <f>INDEX(DATA_SCENARIOS!$B$2:$D$12,MATCH($A35,DATA_SCENARIOS!$A$2:$A$12,0),$B$4)</f>
        <v/>
      </c>
    </row>
    <row r="36">
      <c r="A36" s="2" t="inlineStr">
        <is>
          <t>seg_mix_Enterprise</t>
        </is>
      </c>
      <c r="B36" s="12">
        <f>INDEX(DATA_SCENARIOS!$B$2:$D$12,MATCH($A36,DATA_SCENARIOS!$A$2:$A$12,0),$B$4)</f>
        <v/>
      </c>
    </row>
    <row r="37">
      <c r="A37" s="2" t="inlineStr">
        <is>
          <t>paid_social_cut_pct</t>
        </is>
      </c>
      <c r="B37" s="12">
        <f>INDEX(DATA_SCENARIOS!$B$2:$D$12,MATCH($A37,DATA_SCENARIOS!$A$2:$A$12,0),$B$4)</f>
        <v/>
      </c>
    </row>
  </sheetData>
  <dataValidations count="1">
    <dataValidation sqref="B3" showDropDown="0" showInputMessage="0" showErrorMessage="0" allowBlank="0" type="list">
      <formula1>=DATA_SCENARIOS!$B$1:$D$1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62" customWidth="1" min="5" max="5"/>
  </cols>
  <sheetData>
    <row r="1">
      <c r="A1" s="13" t="inlineStr">
        <is>
          <t>parameter</t>
        </is>
      </c>
      <c r="B1" s="13" t="inlineStr">
        <is>
          <t>base</t>
        </is>
      </c>
      <c r="C1" s="13" t="inlineStr">
        <is>
          <t>sales_proposal</t>
        </is>
      </c>
      <c r="D1" s="13" t="inlineStr">
        <is>
          <t>selective</t>
        </is>
      </c>
      <c r="E1" s="13" t="inlineStr">
        <is>
          <t>note</t>
        </is>
      </c>
    </row>
    <row r="2">
      <c r="A2" s="2" t="inlineStr">
        <is>
          <t>sdr_heads_added</t>
        </is>
      </c>
      <c r="B2" s="9" t="n">
        <v>0</v>
      </c>
      <c r="C2" s="9" t="n">
        <v>9</v>
      </c>
      <c r="D2" s="9" t="n">
        <v>5</v>
      </c>
      <c r="E2" s="2" t="inlineStr">
        <is>
          <t>SDRs added on top of today's team</t>
        </is>
      </c>
    </row>
    <row r="3">
      <c r="A3" s="2" t="inlineStr">
        <is>
          <t>list_overlap</t>
        </is>
      </c>
      <c r="B3" s="9" t="n">
        <v>1</v>
      </c>
      <c r="C3" s="9" t="n">
        <v>1</v>
      </c>
      <c r="D3" s="9" t="n">
        <v>0.4</v>
      </c>
      <c r="E3" s="2" t="inlineStr">
        <is>
          <t>1.00 = new reps work the SAME account list; 0.00 = wholly new territory</t>
        </is>
      </c>
    </row>
    <row r="4">
      <c r="A4" s="2" t="inlineStr">
        <is>
          <t>monthly_cost</t>
        </is>
      </c>
      <c r="B4" s="9" t="n">
        <v>0</v>
      </c>
      <c r="C4" s="9" t="n">
        <v>180000</v>
      </c>
      <c r="D4" s="9" t="n">
        <v>88500</v>
      </c>
      <c r="E4" s="2" t="inlineStr">
        <is>
          <t>Fully-loaded build-up: reps, managers, AEs, SEs, tooling</t>
        </is>
      </c>
    </row>
    <row r="5">
      <c r="A5" s="2" t="inlineStr">
        <is>
          <t>hire_lag_months</t>
        </is>
      </c>
      <c r="B5" s="9" t="n">
        <v>0</v>
      </c>
      <c r="C5" s="9" t="n">
        <v>2</v>
      </c>
      <c r="D5" s="9" t="n">
        <v>2</v>
      </c>
      <c r="E5" s="2" t="inlineStr">
        <is>
          <t>Requisition opened -&gt; seat filled</t>
        </is>
      </c>
    </row>
    <row r="6">
      <c r="A6" s="2" t="inlineStr">
        <is>
          <t>ramp_month_1</t>
        </is>
      </c>
      <c r="B6" s="9" t="n">
        <v>1</v>
      </c>
      <c r="C6" s="9" t="n">
        <v>0.35</v>
      </c>
      <c r="D6" s="9" t="n">
        <v>0.35</v>
      </c>
      <c r="E6" s="2" t="inlineStr">
        <is>
          <t>Share of full productivity, month 1 after start</t>
        </is>
      </c>
    </row>
    <row r="7">
      <c r="A7" s="2" t="inlineStr">
        <is>
          <t>ramp_month_2</t>
        </is>
      </c>
      <c r="B7" s="9" t="n">
        <v>1</v>
      </c>
      <c r="C7" s="9" t="n">
        <v>0.7</v>
      </c>
      <c r="D7" s="9" t="n">
        <v>0.7</v>
      </c>
      <c r="E7" s="2" t="inlineStr">
        <is>
          <t>month 2</t>
        </is>
      </c>
    </row>
    <row r="8">
      <c r="A8" s="2" t="inlineStr">
        <is>
          <t>ramp_month_3</t>
        </is>
      </c>
      <c r="B8" s="9" t="n">
        <v>1</v>
      </c>
      <c r="C8" s="9" t="n">
        <v>1</v>
      </c>
      <c r="D8" s="9" t="n">
        <v>1</v>
      </c>
      <c r="E8" s="2" t="inlineStr">
        <is>
          <t>month 3 onwards</t>
        </is>
      </c>
    </row>
    <row r="9">
      <c r="A9" s="2" t="inlineStr">
        <is>
          <t>seg_mix_SMB</t>
        </is>
      </c>
      <c r="B9" s="9" t="n">
        <v>0</v>
      </c>
      <c r="C9" s="9" t="n">
        <v>0.06</v>
      </c>
      <c r="D9" s="9" t="n">
        <v>0.02</v>
      </c>
      <c r="E9" s="2" t="inlineStr">
        <is>
          <t>Share of the pod's won logos</t>
        </is>
      </c>
    </row>
    <row r="10">
      <c r="A10" s="2" t="inlineStr">
        <is>
          <t>seg_mix_MidMarket</t>
        </is>
      </c>
      <c r="B10" s="9" t="n">
        <v>0</v>
      </c>
      <c r="C10" s="9" t="n">
        <v>0.66</v>
      </c>
      <c r="D10" s="9" t="n">
        <v>0.4</v>
      </c>
      <c r="E10" s="2" t="inlineStr"/>
    </row>
    <row r="11">
      <c r="A11" s="2" t="inlineStr">
        <is>
          <t>seg_mix_Enterprise</t>
        </is>
      </c>
      <c r="B11" s="9" t="n">
        <v>0</v>
      </c>
      <c r="C11" s="9" t="n">
        <v>0.28</v>
      </c>
      <c r="D11" s="9" t="n">
        <v>0.58</v>
      </c>
      <c r="E11" s="2" t="inlineStr"/>
    </row>
    <row r="12">
      <c r="A12" s="2" t="inlineStr">
        <is>
          <t>paid_social_cut_pct</t>
        </is>
      </c>
      <c r="B12" s="9" t="n">
        <v>0</v>
      </c>
      <c r="C12" s="9" t="n">
        <v>0</v>
      </c>
      <c r="D12" s="9" t="n">
        <v>1</v>
      </c>
      <c r="E12" s="2" t="inlineStr">
        <is>
          <t>1.00 = channel switched off</t>
        </is>
      </c>
    </row>
    <row r="14">
      <c r="A14" s="3" t="inlineStr">
        <is>
          <t>label</t>
        </is>
      </c>
      <c r="B14" s="4" t="inlineStr">
        <is>
          <t>Base - hold the line</t>
        </is>
      </c>
      <c r="C14" s="4" t="inlineStr">
        <is>
          <t>Sales proposal - double the SDR team (+$180k/mo)</t>
        </is>
      </c>
      <c r="D14" s="4" t="inlineStr">
        <is>
          <t>Selective - 5-rep Enterprise pod, funded by retiring Paid Social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3" t="inlineStr">
        <is>
          <t>month</t>
        </is>
      </c>
      <c r="B1" s="13" t="inlineStr">
        <is>
          <t>month_index</t>
        </is>
      </c>
      <c r="C1" s="13" t="inlineStr">
        <is>
          <t>mrr</t>
        </is>
      </c>
      <c r="D1" s="13" t="inlineStr">
        <is>
          <t>recognised_revenue</t>
        </is>
      </c>
      <c r="E1" s="13" t="inlineStr">
        <is>
          <t>carry_in_mrr</t>
        </is>
      </c>
      <c r="F1" s="13" t="inlineStr">
        <is>
          <t>new_mrr</t>
        </is>
      </c>
      <c r="G1" s="13" t="inlineStr">
        <is>
          <t>expansion_mrr</t>
        </is>
      </c>
      <c r="H1" s="13" t="inlineStr">
        <is>
          <t>reactivation_mrr</t>
        </is>
      </c>
      <c r="I1" s="13" t="inlineStr">
        <is>
          <t>contraction_mrr</t>
        </is>
      </c>
      <c r="J1" s="13" t="inlineStr">
        <is>
          <t>churn_mrr</t>
        </is>
      </c>
      <c r="K1" s="13" t="inlineStr">
        <is>
          <t>cogs</t>
        </is>
      </c>
      <c r="L1" s="13" t="inlineStr">
        <is>
          <t>sm</t>
        </is>
      </c>
      <c r="M1" s="13" t="inlineStr">
        <is>
          <t>rd</t>
        </is>
      </c>
      <c r="N1" s="13" t="inlineStr">
        <is>
          <t>ga</t>
        </is>
      </c>
      <c r="O1" s="13" t="inlineStr">
        <is>
          <t>total_cost</t>
        </is>
      </c>
      <c r="P1" s="13" t="inlineStr">
        <is>
          <t>net_burn</t>
        </is>
      </c>
      <c r="Q1" s="13" t="inlineStr">
        <is>
          <t>nrr_m</t>
        </is>
      </c>
    </row>
    <row r="2">
      <c r="A2" s="4" t="inlineStr">
        <is>
          <t>2023-09</t>
        </is>
      </c>
      <c r="B2" s="4" t="n">
        <v>1</v>
      </c>
      <c r="C2" s="14" t="n">
        <v>316463</v>
      </c>
      <c r="D2" s="14" t="n">
        <v>314849.68</v>
      </c>
      <c r="E2" s="14" t="n">
        <v>305791</v>
      </c>
      <c r="F2" s="14" t="n">
        <v>10672</v>
      </c>
      <c r="G2" s="14" t="n">
        <v>0</v>
      </c>
      <c r="H2" s="14" t="n">
        <v>0</v>
      </c>
      <c r="I2" s="14" t="n">
        <v>0</v>
      </c>
      <c r="J2" s="14" t="n">
        <v>0</v>
      </c>
      <c r="K2" s="14" t="n">
        <v>70494.46000000001</v>
      </c>
      <c r="L2" s="14" t="n">
        <v>195456.4</v>
      </c>
      <c r="M2" s="14" t="n">
        <v>161000</v>
      </c>
      <c r="N2" s="14" t="n">
        <v>86500</v>
      </c>
      <c r="O2" s="14" t="n">
        <v>513450.86</v>
      </c>
      <c r="P2" s="14" t="n">
        <v>198601.18</v>
      </c>
      <c r="Q2" s="15" t="n">
        <v>1</v>
      </c>
    </row>
    <row r="3">
      <c r="A3" s="4" t="inlineStr">
        <is>
          <t>2023-10</t>
        </is>
      </c>
      <c r="B3" s="4" t="n">
        <v>2</v>
      </c>
      <c r="C3" s="14" t="n">
        <v>318572</v>
      </c>
      <c r="D3" s="14" t="n">
        <v>318154.65</v>
      </c>
      <c r="E3" s="14" t="n">
        <v>0</v>
      </c>
      <c r="F3" s="14" t="n">
        <v>3750</v>
      </c>
      <c r="G3" s="14" t="n">
        <v>2243</v>
      </c>
      <c r="H3" s="14" t="n">
        <v>0</v>
      </c>
      <c r="I3" s="14" t="n">
        <v>466</v>
      </c>
      <c r="J3" s="14" t="n">
        <v>3418</v>
      </c>
      <c r="K3" s="14" t="n">
        <v>70724.35000000001</v>
      </c>
      <c r="L3" s="14" t="n">
        <v>191652.26</v>
      </c>
      <c r="M3" s="14" t="n">
        <v>161294</v>
      </c>
      <c r="N3" s="14" t="n">
        <v>87000</v>
      </c>
      <c r="O3" s="14" t="n">
        <v>510670.61</v>
      </c>
      <c r="P3" s="14" t="n">
        <v>192515.96</v>
      </c>
      <c r="Q3" s="15" t="n">
        <v>0.9948145596799626</v>
      </c>
    </row>
    <row r="4">
      <c r="A4" s="4" t="inlineStr">
        <is>
          <t>2023-11</t>
        </is>
      </c>
      <c r="B4" s="4" t="n">
        <v>3</v>
      </c>
      <c r="C4" s="14" t="n">
        <v>327036</v>
      </c>
      <c r="D4" s="14" t="n">
        <v>325445.1</v>
      </c>
      <c r="E4" s="14" t="n">
        <v>0</v>
      </c>
      <c r="F4" s="14" t="n">
        <v>9806</v>
      </c>
      <c r="G4" s="14" t="n">
        <v>2080</v>
      </c>
      <c r="H4" s="14" t="n">
        <v>0</v>
      </c>
      <c r="I4" s="14" t="n">
        <v>855</v>
      </c>
      <c r="J4" s="14" t="n">
        <v>2567</v>
      </c>
      <c r="K4" s="14" t="n">
        <v>71646.92999999999</v>
      </c>
      <c r="L4" s="14" t="n">
        <v>201979.7</v>
      </c>
      <c r="M4" s="14" t="n">
        <v>161592.12</v>
      </c>
      <c r="N4" s="14" t="n">
        <v>87506.25</v>
      </c>
      <c r="O4" s="14" t="n">
        <v>522725</v>
      </c>
      <c r="P4" s="14" t="n">
        <v>197279.9</v>
      </c>
      <c r="Q4" s="15" t="n">
        <v>0.9957874515023292</v>
      </c>
    </row>
    <row r="5">
      <c r="A5" s="4" t="inlineStr">
        <is>
          <t>2023-12</t>
        </is>
      </c>
      <c r="B5" s="4" t="n">
        <v>4</v>
      </c>
      <c r="C5" s="14" t="n">
        <v>328619</v>
      </c>
      <c r="D5" s="14" t="n">
        <v>326513.68</v>
      </c>
      <c r="E5" s="14" t="n">
        <v>0</v>
      </c>
      <c r="F5" s="14" t="n">
        <v>1674</v>
      </c>
      <c r="G5" s="14" t="n">
        <v>3171</v>
      </c>
      <c r="H5" s="14" t="n">
        <v>0</v>
      </c>
      <c r="I5" s="14" t="n">
        <v>645</v>
      </c>
      <c r="J5" s="14" t="n">
        <v>2617</v>
      </c>
      <c r="K5" s="14" t="n">
        <v>83819.47</v>
      </c>
      <c r="L5" s="14" t="n">
        <v>211035.54</v>
      </c>
      <c r="M5" s="14" t="n">
        <v>179394.41</v>
      </c>
      <c r="N5" s="14" t="n">
        <v>88018.83</v>
      </c>
      <c r="O5" s="14" t="n">
        <v>562268.25</v>
      </c>
      <c r="P5" s="14" t="n">
        <v>235754.57</v>
      </c>
      <c r="Q5" s="15" t="n">
        <v>0.9997217431720056</v>
      </c>
    </row>
    <row r="6">
      <c r="A6" s="4" t="inlineStr">
        <is>
          <t>2024-01</t>
        </is>
      </c>
      <c r="B6" s="4" t="n">
        <v>5</v>
      </c>
      <c r="C6" s="14" t="n">
        <v>340008</v>
      </c>
      <c r="D6" s="14" t="n">
        <v>339518.5</v>
      </c>
      <c r="E6" s="14" t="n">
        <v>0</v>
      </c>
      <c r="F6" s="14" t="n">
        <v>10732</v>
      </c>
      <c r="G6" s="14" t="n">
        <v>3255</v>
      </c>
      <c r="H6" s="14" t="n">
        <v>0</v>
      </c>
      <c r="I6" s="14" t="n">
        <v>1044</v>
      </c>
      <c r="J6" s="14" t="n">
        <v>1554</v>
      </c>
      <c r="K6" s="14" t="n">
        <v>85094.88</v>
      </c>
      <c r="L6" s="14" t="n">
        <v>225116.81</v>
      </c>
      <c r="M6" s="14" t="n">
        <v>179700.93</v>
      </c>
      <c r="N6" s="14" t="n">
        <v>88537.81</v>
      </c>
      <c r="O6" s="14" t="n">
        <v>578450.4300000001</v>
      </c>
      <c r="P6" s="14" t="n">
        <v>238931.93</v>
      </c>
      <c r="Q6" s="15" t="n">
        <v>1.001999275757032</v>
      </c>
    </row>
    <row r="7">
      <c r="A7" s="4" t="inlineStr">
        <is>
          <t>2024-02</t>
        </is>
      </c>
      <c r="B7" s="4" t="n">
        <v>6</v>
      </c>
      <c r="C7" s="14" t="n">
        <v>347319</v>
      </c>
      <c r="D7" s="14" t="n">
        <v>346256.23</v>
      </c>
      <c r="E7" s="14" t="n">
        <v>0</v>
      </c>
      <c r="F7" s="14" t="n">
        <v>9438</v>
      </c>
      <c r="G7" s="14" t="n">
        <v>2615</v>
      </c>
      <c r="H7" s="14" t="n">
        <v>351</v>
      </c>
      <c r="I7" s="14" t="n">
        <v>609</v>
      </c>
      <c r="J7" s="14" t="n">
        <v>4484</v>
      </c>
      <c r="K7" s="14" t="n">
        <v>85857.77</v>
      </c>
      <c r="L7" s="14" t="n">
        <v>251366.33</v>
      </c>
      <c r="M7" s="14" t="n">
        <v>180011.74</v>
      </c>
      <c r="N7" s="14" t="n">
        <v>89063.28999999999</v>
      </c>
      <c r="O7" s="14" t="n">
        <v>606299.13</v>
      </c>
      <c r="P7" s="14" t="n">
        <v>260042.9</v>
      </c>
      <c r="Q7" s="15" t="n">
        <v>0.9927119361897367</v>
      </c>
    </row>
    <row r="8">
      <c r="A8" s="4" t="inlineStr">
        <is>
          <t>2024-03</t>
        </is>
      </c>
      <c r="B8" s="4" t="n">
        <v>7</v>
      </c>
      <c r="C8" s="14" t="n">
        <v>366374</v>
      </c>
      <c r="D8" s="14" t="n">
        <v>364074.5</v>
      </c>
      <c r="E8" s="14" t="n">
        <v>0</v>
      </c>
      <c r="F8" s="14" t="n">
        <v>20122</v>
      </c>
      <c r="G8" s="14" t="n">
        <v>3136</v>
      </c>
      <c r="H8" s="14" t="n">
        <v>0</v>
      </c>
      <c r="I8" s="14" t="n">
        <v>916</v>
      </c>
      <c r="J8" s="14" t="n">
        <v>3287</v>
      </c>
      <c r="K8" s="14" t="n">
        <v>87934.75999999999</v>
      </c>
      <c r="L8" s="14" t="n">
        <v>267640.89</v>
      </c>
      <c r="M8" s="14" t="n">
        <v>180326.9</v>
      </c>
      <c r="N8" s="14" t="n">
        <v>89595.33</v>
      </c>
      <c r="O8" s="14" t="n">
        <v>625497.88</v>
      </c>
      <c r="P8" s="14" t="n">
        <v>261423.38</v>
      </c>
      <c r="Q8" s="15" t="n">
        <v>0.9969278962567553</v>
      </c>
    </row>
    <row r="9">
      <c r="A9" s="4" t="inlineStr">
        <is>
          <t>2024-04</t>
        </is>
      </c>
      <c r="B9" s="4" t="n">
        <v>8</v>
      </c>
      <c r="C9" s="14" t="n">
        <v>377705</v>
      </c>
      <c r="D9" s="14" t="n">
        <v>374530.31</v>
      </c>
      <c r="E9" s="14" t="n">
        <v>0</v>
      </c>
      <c r="F9" s="14" t="n">
        <v>14884</v>
      </c>
      <c r="G9" s="14" t="n">
        <v>1944</v>
      </c>
      <c r="H9" s="14" t="n">
        <v>0</v>
      </c>
      <c r="I9" s="14" t="n">
        <v>544</v>
      </c>
      <c r="J9" s="14" t="n">
        <v>4953</v>
      </c>
      <c r="K9" s="14" t="n">
        <v>89169.85000000001</v>
      </c>
      <c r="L9" s="14" t="n">
        <v>263806.34</v>
      </c>
      <c r="M9" s="14" t="n">
        <v>198146.48</v>
      </c>
      <c r="N9" s="14" t="n">
        <v>90134.02</v>
      </c>
      <c r="O9" s="14" t="n">
        <v>641256.6899999999</v>
      </c>
      <c r="P9" s="14" t="n">
        <v>266726.38</v>
      </c>
      <c r="Q9" s="15" t="n">
        <v>0.9903022594398074</v>
      </c>
    </row>
    <row r="10">
      <c r="A10" s="4" t="inlineStr">
        <is>
          <t>2024-05</t>
        </is>
      </c>
      <c r="B10" s="4" t="n">
        <v>9</v>
      </c>
      <c r="C10" s="14" t="n">
        <v>380074</v>
      </c>
      <c r="D10" s="14" t="n">
        <v>375426.44</v>
      </c>
      <c r="E10" s="14" t="n">
        <v>0</v>
      </c>
      <c r="F10" s="14" t="n">
        <v>8710</v>
      </c>
      <c r="G10" s="14" t="n">
        <v>3129</v>
      </c>
      <c r="H10" s="14" t="n">
        <v>0</v>
      </c>
      <c r="I10" s="14" t="n">
        <v>874</v>
      </c>
      <c r="J10" s="14" t="n">
        <v>8596</v>
      </c>
      <c r="K10" s="14" t="n">
        <v>89428.06</v>
      </c>
      <c r="L10" s="14" t="n">
        <v>260276.5</v>
      </c>
      <c r="M10" s="14" t="n">
        <v>198470.53</v>
      </c>
      <c r="N10" s="14" t="n">
        <v>90679.44</v>
      </c>
      <c r="O10" s="14" t="n">
        <v>638854.53</v>
      </c>
      <c r="P10" s="14" t="n">
        <v>263428.09</v>
      </c>
      <c r="Q10" s="15" t="n">
        <v>0.9832117657960577</v>
      </c>
    </row>
    <row r="11">
      <c r="A11" s="4" t="inlineStr">
        <is>
          <t>2024-06</t>
        </is>
      </c>
      <c r="B11" s="4" t="n">
        <v>10</v>
      </c>
      <c r="C11" s="14" t="n">
        <v>383079</v>
      </c>
      <c r="D11" s="14" t="n">
        <v>382600.53</v>
      </c>
      <c r="E11" s="14" t="n">
        <v>0</v>
      </c>
      <c r="F11" s="14" t="n">
        <v>3927</v>
      </c>
      <c r="G11" s="14" t="n">
        <v>2648</v>
      </c>
      <c r="H11" s="14" t="n">
        <v>0</v>
      </c>
      <c r="I11" s="14" t="n">
        <v>567</v>
      </c>
      <c r="J11" s="14" t="n">
        <v>3003</v>
      </c>
      <c r="K11" s="14" t="n">
        <v>101755.61</v>
      </c>
      <c r="L11" s="14" t="n">
        <v>288917.98</v>
      </c>
      <c r="M11" s="14" t="n">
        <v>198799.12</v>
      </c>
      <c r="N11" s="14" t="n">
        <v>106731.69</v>
      </c>
      <c r="O11" s="14" t="n">
        <v>696204.4</v>
      </c>
      <c r="P11" s="14" t="n">
        <v>313603.87</v>
      </c>
      <c r="Q11" s="15" t="n">
        <v>0.9975741566116072</v>
      </c>
    </row>
    <row r="12">
      <c r="A12" s="4" t="inlineStr">
        <is>
          <t>2024-07</t>
        </is>
      </c>
      <c r="B12" s="4" t="n">
        <v>11</v>
      </c>
      <c r="C12" s="14" t="n">
        <v>388364</v>
      </c>
      <c r="D12" s="14" t="n">
        <v>387158.26</v>
      </c>
      <c r="E12" s="14" t="n">
        <v>0</v>
      </c>
      <c r="F12" s="14" t="n">
        <v>14986</v>
      </c>
      <c r="G12" s="14" t="n">
        <v>3000</v>
      </c>
      <c r="H12" s="14" t="n">
        <v>0</v>
      </c>
      <c r="I12" s="14" t="n">
        <v>1325</v>
      </c>
      <c r="J12" s="14" t="n">
        <v>11376</v>
      </c>
      <c r="K12" s="14" t="n">
        <v>103083.45</v>
      </c>
      <c r="L12" s="14" t="n">
        <v>305571.38</v>
      </c>
      <c r="M12" s="14" t="n">
        <v>199132.31</v>
      </c>
      <c r="N12" s="14" t="n">
        <v>107290.83</v>
      </c>
      <c r="O12" s="14" t="n">
        <v>715077.97</v>
      </c>
      <c r="P12" s="14" t="n">
        <v>327919.71</v>
      </c>
      <c r="Q12" s="15" t="n">
        <v>0.9746762417151553</v>
      </c>
    </row>
    <row r="13">
      <c r="A13" s="4" t="inlineStr">
        <is>
          <t>2024-08</t>
        </is>
      </c>
      <c r="B13" s="4" t="n">
        <v>12</v>
      </c>
      <c r="C13" s="14" t="n">
        <v>399466</v>
      </c>
      <c r="D13" s="14" t="n">
        <v>397086.13</v>
      </c>
      <c r="E13" s="14" t="n">
        <v>0</v>
      </c>
      <c r="F13" s="14" t="n">
        <v>6410</v>
      </c>
      <c r="G13" s="14" t="n">
        <v>2339</v>
      </c>
      <c r="H13" s="14" t="n">
        <v>7502</v>
      </c>
      <c r="I13" s="14" t="n">
        <v>857</v>
      </c>
      <c r="J13" s="14" t="n">
        <v>4292</v>
      </c>
      <c r="K13" s="14" t="n">
        <v>103541.8</v>
      </c>
      <c r="L13" s="14" t="n">
        <v>298419.77</v>
      </c>
      <c r="M13" s="14" t="n">
        <v>216970.16</v>
      </c>
      <c r="N13" s="14" t="n">
        <v>107856.97</v>
      </c>
      <c r="O13" s="14" t="n">
        <v>726788.7</v>
      </c>
      <c r="P13" s="14" t="n">
        <v>329702.57</v>
      </c>
      <c r="Q13" s="15" t="n">
        <v>0.9927645198834083</v>
      </c>
    </row>
    <row r="14">
      <c r="A14" s="4" t="inlineStr">
        <is>
          <t>2024-09</t>
        </is>
      </c>
      <c r="B14" s="4" t="n">
        <v>13</v>
      </c>
      <c r="C14" s="14" t="n">
        <v>410187</v>
      </c>
      <c r="D14" s="14" t="n">
        <v>409966.17</v>
      </c>
      <c r="E14" s="14" t="n">
        <v>0</v>
      </c>
      <c r="F14" s="14" t="n">
        <v>12582</v>
      </c>
      <c r="G14" s="14" t="n">
        <v>4155</v>
      </c>
      <c r="H14" s="14" t="n">
        <v>0</v>
      </c>
      <c r="I14" s="14" t="n">
        <v>763</v>
      </c>
      <c r="J14" s="14" t="n">
        <v>5253</v>
      </c>
      <c r="K14" s="14" t="n">
        <v>104710.39</v>
      </c>
      <c r="L14" s="14" t="n">
        <v>336946.64</v>
      </c>
      <c r="M14" s="14" t="n">
        <v>217312.74</v>
      </c>
      <c r="N14" s="14" t="n">
        <v>108430.18</v>
      </c>
      <c r="O14" s="14" t="n">
        <v>767399.95</v>
      </c>
      <c r="P14" s="14" t="n">
        <v>357433.78</v>
      </c>
      <c r="Q14" s="15" t="n">
        <v>0.9953412806096138</v>
      </c>
    </row>
    <row r="15">
      <c r="A15" s="4" t="inlineStr">
        <is>
          <t>2024-10</t>
        </is>
      </c>
      <c r="B15" s="4" t="n">
        <v>14</v>
      </c>
      <c r="C15" s="14" t="n">
        <v>423868</v>
      </c>
      <c r="D15" s="14" t="n">
        <v>422275.74</v>
      </c>
      <c r="E15" s="14" t="n">
        <v>0</v>
      </c>
      <c r="F15" s="14" t="n">
        <v>14608</v>
      </c>
      <c r="G15" s="14" t="n">
        <v>3759</v>
      </c>
      <c r="H15" s="14" t="n">
        <v>0</v>
      </c>
      <c r="I15" s="14" t="n">
        <v>1244</v>
      </c>
      <c r="J15" s="14" t="n">
        <v>3442</v>
      </c>
      <c r="K15" s="14" t="n">
        <v>106201.61</v>
      </c>
      <c r="L15" s="14" t="n">
        <v>356535.93</v>
      </c>
      <c r="M15" s="14" t="n">
        <v>217660.12</v>
      </c>
      <c r="N15" s="14" t="n">
        <v>109010.56</v>
      </c>
      <c r="O15" s="14" t="n">
        <v>789408.22</v>
      </c>
      <c r="P15" s="14" t="n">
        <v>367132.48</v>
      </c>
      <c r="Q15" s="15" t="n">
        <v>0.99774005514558</v>
      </c>
    </row>
    <row r="16">
      <c r="A16" s="4" t="inlineStr">
        <is>
          <t>2024-11</t>
        </is>
      </c>
      <c r="B16" s="4" t="n">
        <v>15</v>
      </c>
      <c r="C16" s="14" t="n">
        <v>433857</v>
      </c>
      <c r="D16" s="14" t="n">
        <v>431868.66</v>
      </c>
      <c r="E16" s="14" t="n">
        <v>0</v>
      </c>
      <c r="F16" s="14" t="n">
        <v>9106</v>
      </c>
      <c r="G16" s="14" t="n">
        <v>4736</v>
      </c>
      <c r="H16" s="14" t="n">
        <v>0</v>
      </c>
      <c r="I16" s="14" t="n">
        <v>805</v>
      </c>
      <c r="J16" s="14" t="n">
        <v>3048</v>
      </c>
      <c r="K16" s="14" t="n">
        <v>107290.42</v>
      </c>
      <c r="L16" s="14" t="n">
        <v>360532.64</v>
      </c>
      <c r="M16" s="14" t="n">
        <v>218012.36</v>
      </c>
      <c r="N16" s="14" t="n">
        <v>109598.19</v>
      </c>
      <c r="O16" s="14" t="n">
        <v>795433.61</v>
      </c>
      <c r="P16" s="14" t="n">
        <v>363564.95</v>
      </c>
      <c r="Q16" s="15" t="n">
        <v>1.002083195711873</v>
      </c>
    </row>
    <row r="17">
      <c r="A17" s="4" t="inlineStr">
        <is>
          <t>2024-12</t>
        </is>
      </c>
      <c r="B17" s="4" t="n">
        <v>16</v>
      </c>
      <c r="C17" s="14" t="n">
        <v>440290</v>
      </c>
      <c r="D17" s="14" t="n">
        <v>439999.78</v>
      </c>
      <c r="E17" s="14" t="n">
        <v>0</v>
      </c>
      <c r="F17" s="14" t="n">
        <v>6046</v>
      </c>
      <c r="G17" s="14" t="n">
        <v>3160</v>
      </c>
      <c r="H17" s="14" t="n">
        <v>0</v>
      </c>
      <c r="I17" s="14" t="n">
        <v>430</v>
      </c>
      <c r="J17" s="14" t="n">
        <v>2343</v>
      </c>
      <c r="K17" s="14" t="n">
        <v>119991.61</v>
      </c>
      <c r="L17" s="14" t="n">
        <v>362129.77</v>
      </c>
      <c r="M17" s="14" t="n">
        <v>235869.53</v>
      </c>
      <c r="N17" s="14" t="n">
        <v>110193.17</v>
      </c>
      <c r="O17" s="14" t="n">
        <v>828184.08</v>
      </c>
      <c r="P17" s="14" t="n">
        <v>388184.3</v>
      </c>
      <c r="Q17" s="15" t="n">
        <v>1.000891998976621</v>
      </c>
    </row>
    <row r="18">
      <c r="A18" s="4" t="inlineStr">
        <is>
          <t>2025-01</t>
        </is>
      </c>
      <c r="B18" s="4" t="n">
        <v>17</v>
      </c>
      <c r="C18" s="14" t="n">
        <v>455644</v>
      </c>
      <c r="D18" s="14" t="n">
        <v>454115.28</v>
      </c>
      <c r="E18" s="14" t="n">
        <v>0</v>
      </c>
      <c r="F18" s="14" t="n">
        <v>12174</v>
      </c>
      <c r="G18" s="14" t="n">
        <v>5586</v>
      </c>
      <c r="H18" s="14" t="n">
        <v>0</v>
      </c>
      <c r="I18" s="14" t="n">
        <v>792</v>
      </c>
      <c r="J18" s="14" t="n">
        <v>1614</v>
      </c>
      <c r="K18" s="14" t="n">
        <v>121665.19</v>
      </c>
      <c r="L18" s="14" t="n">
        <v>377155.55</v>
      </c>
      <c r="M18" s="14" t="n">
        <v>236231.71</v>
      </c>
      <c r="N18" s="14" t="n">
        <v>110795.58</v>
      </c>
      <c r="O18" s="14" t="n">
        <v>845848.03</v>
      </c>
      <c r="P18" s="14" t="n">
        <v>391732.75</v>
      </c>
      <c r="Q18" s="15" t="n">
        <v>1.007222512434986</v>
      </c>
    </row>
    <row r="19">
      <c r="A19" s="4" t="inlineStr">
        <is>
          <t>2025-02</t>
        </is>
      </c>
      <c r="B19" s="4" t="n">
        <v>18</v>
      </c>
      <c r="C19" s="14" t="n">
        <v>478380.1</v>
      </c>
      <c r="D19" s="14" t="n">
        <v>477088.68</v>
      </c>
      <c r="E19" s="14" t="n">
        <v>0</v>
      </c>
      <c r="F19" s="14" t="n">
        <v>26643</v>
      </c>
      <c r="G19" s="14" t="n">
        <v>3839.1</v>
      </c>
      <c r="H19" s="14" t="n">
        <v>0</v>
      </c>
      <c r="I19" s="14" t="n">
        <v>1786</v>
      </c>
      <c r="J19" s="14" t="n">
        <v>5960</v>
      </c>
      <c r="K19" s="14" t="n">
        <v>124143.43</v>
      </c>
      <c r="L19" s="14" t="n">
        <v>414688.71</v>
      </c>
      <c r="M19" s="14" t="n">
        <v>236598.95</v>
      </c>
      <c r="N19" s="14" t="n">
        <v>111405.53</v>
      </c>
      <c r="O19" s="14" t="n">
        <v>886836.62</v>
      </c>
      <c r="P19" s="14" t="n">
        <v>409747.94</v>
      </c>
      <c r="Q19" s="15" t="n">
        <v>0.9914255427482859</v>
      </c>
    </row>
    <row r="20">
      <c r="A20" s="4" t="inlineStr">
        <is>
          <t>2025-03</t>
        </is>
      </c>
      <c r="B20" s="4" t="n">
        <v>19</v>
      </c>
      <c r="C20" s="14" t="n">
        <v>498475.36</v>
      </c>
      <c r="D20" s="14" t="n">
        <v>495932.39</v>
      </c>
      <c r="E20" s="14" t="n">
        <v>0</v>
      </c>
      <c r="F20" s="14" t="n">
        <v>20618</v>
      </c>
      <c r="G20" s="14" t="n">
        <v>5164.46</v>
      </c>
      <c r="H20" s="14" t="n">
        <v>0</v>
      </c>
      <c r="I20" s="14" t="n">
        <v>945</v>
      </c>
      <c r="J20" s="14" t="n">
        <v>4742.2</v>
      </c>
      <c r="K20" s="14" t="n">
        <v>126333.81</v>
      </c>
      <c r="L20" s="14" t="n">
        <v>414693.76</v>
      </c>
      <c r="M20" s="14" t="n">
        <v>236971.34</v>
      </c>
      <c r="N20" s="14" t="n">
        <v>112023.1</v>
      </c>
      <c r="O20" s="14" t="n">
        <v>890022.01</v>
      </c>
      <c r="P20" s="14" t="n">
        <v>394089.62</v>
      </c>
      <c r="Q20" s="15" t="n">
        <v>0.9989072705992578</v>
      </c>
    </row>
    <row r="21">
      <c r="A21" s="4" t="inlineStr">
        <is>
          <t>2025-04</t>
        </is>
      </c>
      <c r="B21" s="4" t="n">
        <v>20</v>
      </c>
      <c r="C21" s="14" t="n">
        <v>509179.7</v>
      </c>
      <c r="D21" s="14" t="n">
        <v>508107.71</v>
      </c>
      <c r="E21" s="14" t="n">
        <v>0</v>
      </c>
      <c r="F21" s="14" t="n">
        <v>9957</v>
      </c>
      <c r="G21" s="14" t="n">
        <v>4054.74</v>
      </c>
      <c r="H21" s="14" t="n">
        <v>0</v>
      </c>
      <c r="I21" s="14" t="n">
        <v>1191.02</v>
      </c>
      <c r="J21" s="14" t="n">
        <v>2116.38</v>
      </c>
      <c r="K21" s="14" t="n">
        <v>127500.59</v>
      </c>
      <c r="L21" s="14" t="n">
        <v>418898.69</v>
      </c>
      <c r="M21" s="14" t="n">
        <v>254848.94</v>
      </c>
      <c r="N21" s="14" t="n">
        <v>112648.38</v>
      </c>
      <c r="O21" s="14" t="n">
        <v>913896.6</v>
      </c>
      <c r="P21" s="14" t="n">
        <v>405788.89</v>
      </c>
      <c r="Q21" s="15" t="n">
        <v>1.001499251638035</v>
      </c>
    </row>
    <row r="22">
      <c r="A22" s="4" t="inlineStr">
        <is>
          <t>2025-05</t>
        </is>
      </c>
      <c r="B22" s="4" t="n">
        <v>21</v>
      </c>
      <c r="C22" s="14" t="n">
        <v>558484.2</v>
      </c>
      <c r="D22" s="14" t="n">
        <v>556778.24</v>
      </c>
      <c r="E22" s="14" t="n">
        <v>0</v>
      </c>
      <c r="F22" s="14" t="n">
        <v>51761</v>
      </c>
      <c r="G22" s="14" t="n">
        <v>5180.1</v>
      </c>
      <c r="H22" s="14" t="n">
        <v>0</v>
      </c>
      <c r="I22" s="14" t="n">
        <v>1178.16</v>
      </c>
      <c r="J22" s="14" t="n">
        <v>6458.440000000001</v>
      </c>
      <c r="K22" s="14" t="n">
        <v>132874.78</v>
      </c>
      <c r="L22" s="14" t="n">
        <v>476204.65</v>
      </c>
      <c r="M22" s="14" t="n">
        <v>255231.82</v>
      </c>
      <c r="N22" s="14" t="n">
        <v>113281.49</v>
      </c>
      <c r="O22" s="14" t="n">
        <v>977592.74</v>
      </c>
      <c r="P22" s="14" t="n">
        <v>420814.5</v>
      </c>
      <c r="Q22" s="15" t="n">
        <v>0.995175573574516</v>
      </c>
    </row>
    <row r="23">
      <c r="A23" s="4" t="inlineStr">
        <is>
          <t>2025-06</t>
        </is>
      </c>
      <c r="B23" s="4" t="n">
        <v>22</v>
      </c>
      <c r="C23" s="14" t="n">
        <v>578659.14</v>
      </c>
      <c r="D23" s="14" t="n">
        <v>574510.4399999999</v>
      </c>
      <c r="E23" s="14" t="n">
        <v>0</v>
      </c>
      <c r="F23" s="14" t="n">
        <v>17285</v>
      </c>
      <c r="G23" s="14" t="n">
        <v>7416.42</v>
      </c>
      <c r="H23" s="14" t="n">
        <v>0</v>
      </c>
      <c r="I23" s="14" t="n">
        <v>506.48</v>
      </c>
      <c r="J23" s="14" t="n">
        <v>4020</v>
      </c>
      <c r="K23" s="14" t="n">
        <v>147073.84</v>
      </c>
      <c r="L23" s="14" t="n">
        <v>442643.14</v>
      </c>
      <c r="M23" s="14" t="n">
        <v>255620.07</v>
      </c>
      <c r="N23" s="14" t="n">
        <v>113922.51</v>
      </c>
      <c r="O23" s="14" t="n">
        <v>959259.5600000001</v>
      </c>
      <c r="P23" s="14" t="n">
        <v>384749.12</v>
      </c>
      <c r="Q23" s="15" t="n">
        <v>1.005174613713333</v>
      </c>
    </row>
    <row r="24">
      <c r="A24" s="4" t="inlineStr">
        <is>
          <t>2025-07</t>
        </is>
      </c>
      <c r="B24" s="4" t="n">
        <v>23</v>
      </c>
      <c r="C24" s="14" t="n">
        <v>590750.04</v>
      </c>
      <c r="D24" s="14" t="n">
        <v>588148.03</v>
      </c>
      <c r="E24" s="14" t="n">
        <v>0</v>
      </c>
      <c r="F24" s="14" t="n">
        <v>18075</v>
      </c>
      <c r="G24" s="14" t="n">
        <v>6915.28</v>
      </c>
      <c r="H24" s="14" t="n">
        <v>0</v>
      </c>
      <c r="I24" s="14" t="n">
        <v>1496.1</v>
      </c>
      <c r="J24" s="14" t="n">
        <v>11403.28</v>
      </c>
      <c r="K24" s="14" t="n">
        <v>148679.51</v>
      </c>
      <c r="L24" s="14" t="n">
        <v>460760.36</v>
      </c>
      <c r="M24" s="14" t="n">
        <v>256013.75</v>
      </c>
      <c r="N24" s="14" t="n">
        <v>114571.54</v>
      </c>
      <c r="O24" s="14" t="n">
        <v>980025.16</v>
      </c>
      <c r="P24" s="14" t="n">
        <v>391877.13</v>
      </c>
      <c r="Q24" s="15" t="n">
        <v>0.9896586788553967</v>
      </c>
    </row>
    <row r="25">
      <c r="A25" s="4" t="inlineStr">
        <is>
          <t>2025-08</t>
        </is>
      </c>
      <c r="B25" s="4" t="n">
        <v>24</v>
      </c>
      <c r="C25" s="14" t="n">
        <v>611621.1800000001</v>
      </c>
      <c r="D25" s="14" t="n">
        <v>609595.72</v>
      </c>
      <c r="E25" s="14" t="n">
        <v>0</v>
      </c>
      <c r="F25" s="14" t="n">
        <v>11342</v>
      </c>
      <c r="G25" s="14" t="n">
        <v>11219.22</v>
      </c>
      <c r="H25" s="14" t="n">
        <v>2640</v>
      </c>
      <c r="I25" s="14" t="n">
        <v>786.9</v>
      </c>
      <c r="J25" s="14" t="n">
        <v>3543.18</v>
      </c>
      <c r="K25" s="14" t="n">
        <v>150666.71</v>
      </c>
      <c r="L25" s="14" t="n">
        <v>483735.05</v>
      </c>
      <c r="M25" s="14" t="n">
        <v>273912.94</v>
      </c>
      <c r="N25" s="14" t="n">
        <v>115228.68</v>
      </c>
      <c r="O25" s="14" t="n">
        <v>1023543.38</v>
      </c>
      <c r="P25" s="14" t="n">
        <v>413947.66</v>
      </c>
      <c r="Q25" s="15" t="n">
        <v>1.01166168351</v>
      </c>
    </row>
    <row r="26">
      <c r="A26" s="4" t="inlineStr">
        <is>
          <t>2025-09</t>
        </is>
      </c>
      <c r="B26" s="4" t="n">
        <v>25</v>
      </c>
      <c r="C26" s="14" t="n">
        <v>666924.5</v>
      </c>
      <c r="D26" s="14" t="n">
        <v>663185.5600000001</v>
      </c>
      <c r="E26" s="14" t="n">
        <v>0</v>
      </c>
      <c r="F26" s="14" t="n">
        <v>53982</v>
      </c>
      <c r="G26" s="14" t="n">
        <v>8216.639999999999</v>
      </c>
      <c r="H26" s="14" t="n">
        <v>0</v>
      </c>
      <c r="I26" s="14" t="n">
        <v>726.5599999999999</v>
      </c>
      <c r="J26" s="14" t="n">
        <v>6168.76</v>
      </c>
      <c r="K26" s="14" t="n">
        <v>156814.39</v>
      </c>
      <c r="L26" s="14" t="n">
        <v>550817.55</v>
      </c>
      <c r="M26" s="14" t="n">
        <v>274317.72</v>
      </c>
      <c r="N26" s="14" t="n">
        <v>115894.04</v>
      </c>
      <c r="O26" s="14" t="n">
        <v>1097843.7</v>
      </c>
      <c r="P26" s="14" t="n">
        <v>434658.14</v>
      </c>
      <c r="Q26" s="15" t="n">
        <v>1.002160356840487</v>
      </c>
    </row>
    <row r="27">
      <c r="A27" s="4" t="inlineStr">
        <is>
          <t>2025-10</t>
        </is>
      </c>
      <c r="B27" s="4" t="n">
        <v>26</v>
      </c>
      <c r="C27" s="14" t="n">
        <v>686898.22</v>
      </c>
      <c r="D27" s="14" t="n">
        <v>683827.38</v>
      </c>
      <c r="E27" s="14" t="n">
        <v>0</v>
      </c>
      <c r="F27" s="14" t="n">
        <v>14371</v>
      </c>
      <c r="G27" s="14" t="n">
        <v>12117.18</v>
      </c>
      <c r="H27" s="14" t="n">
        <v>1097.4</v>
      </c>
      <c r="I27" s="14" t="n">
        <v>2962.56</v>
      </c>
      <c r="J27" s="14" t="n">
        <v>4649.3</v>
      </c>
      <c r="K27" s="14" t="n">
        <v>158939.49</v>
      </c>
      <c r="L27" s="14" t="n">
        <v>527444.96</v>
      </c>
      <c r="M27" s="14" t="n">
        <v>274728.17</v>
      </c>
      <c r="N27" s="14" t="n">
        <v>116567.72</v>
      </c>
      <c r="O27" s="14" t="n">
        <v>1077680.34</v>
      </c>
      <c r="P27" s="14" t="n">
        <v>393852.96</v>
      </c>
      <c r="Q27" s="15" t="n">
        <v>1.006755367361673</v>
      </c>
    </row>
    <row r="28">
      <c r="A28" s="4" t="inlineStr">
        <is>
          <t>2025-11</t>
        </is>
      </c>
      <c r="B28" s="4" t="n">
        <v>27</v>
      </c>
      <c r="C28" s="14" t="n">
        <v>701693.54</v>
      </c>
      <c r="D28" s="14" t="n">
        <v>700633.35</v>
      </c>
      <c r="E28" s="14" t="n">
        <v>0</v>
      </c>
      <c r="F28" s="14" t="n">
        <v>17002</v>
      </c>
      <c r="G28" s="14" t="n">
        <v>9540.32</v>
      </c>
      <c r="H28" s="14" t="n">
        <v>620</v>
      </c>
      <c r="I28" s="14" t="n">
        <v>2703.64</v>
      </c>
      <c r="J28" s="14" t="n">
        <v>9663.360000000001</v>
      </c>
      <c r="K28" s="14" t="n">
        <v>172484.6</v>
      </c>
      <c r="L28" s="14" t="n">
        <v>535978.85</v>
      </c>
      <c r="M28" s="14" t="n">
        <v>275144.36</v>
      </c>
      <c r="N28" s="14" t="n">
        <v>117249.81</v>
      </c>
      <c r="O28" s="14" t="n">
        <v>1100857.62</v>
      </c>
      <c r="P28" s="14" t="n">
        <v>400224.27</v>
      </c>
      <c r="Q28" s="15" t="n">
        <v>0.9958848634081481</v>
      </c>
    </row>
    <row r="29">
      <c r="A29" s="4" t="inlineStr">
        <is>
          <t>2025-12</t>
        </is>
      </c>
      <c r="B29" s="4" t="n">
        <v>28</v>
      </c>
      <c r="C29" s="14" t="n">
        <v>741832.2</v>
      </c>
      <c r="D29" s="14" t="n">
        <v>741317.73</v>
      </c>
      <c r="E29" s="14" t="n">
        <v>0</v>
      </c>
      <c r="F29" s="14" t="n">
        <v>33472</v>
      </c>
      <c r="G29" s="14" t="n">
        <v>13246.94</v>
      </c>
      <c r="H29" s="14" t="n">
        <v>0</v>
      </c>
      <c r="I29" s="14" t="n">
        <v>1150.52</v>
      </c>
      <c r="J29" s="14" t="n">
        <v>5429.76</v>
      </c>
      <c r="K29" s="14" t="n">
        <v>176859.71</v>
      </c>
      <c r="L29" s="14" t="n">
        <v>595391.73</v>
      </c>
      <c r="M29" s="14" t="n">
        <v>293066.39</v>
      </c>
      <c r="N29" s="14" t="n">
        <v>133440.44</v>
      </c>
      <c r="O29" s="14" t="n">
        <v>1198758.27</v>
      </c>
      <c r="P29" s="14" t="n">
        <v>457440.54</v>
      </c>
      <c r="Q29" s="15" t="n">
        <v>1.009500814272852</v>
      </c>
    </row>
    <row r="30">
      <c r="A30" s="4" t="inlineStr">
        <is>
          <t>2026-01</t>
        </is>
      </c>
      <c r="B30" s="4" t="n">
        <v>29</v>
      </c>
      <c r="C30" s="14" t="n">
        <v>790963.62</v>
      </c>
      <c r="D30" s="14" t="n">
        <v>789159.22</v>
      </c>
      <c r="E30" s="14" t="n">
        <v>0</v>
      </c>
      <c r="F30" s="14" t="n">
        <v>40034</v>
      </c>
      <c r="G30" s="14" t="n">
        <v>13918.06</v>
      </c>
      <c r="H30" s="14" t="n">
        <v>0</v>
      </c>
      <c r="I30" s="14" t="n">
        <v>1495.92</v>
      </c>
      <c r="J30" s="14" t="n">
        <v>3324.72</v>
      </c>
      <c r="K30" s="14" t="n">
        <v>182230.08</v>
      </c>
      <c r="L30" s="14" t="n">
        <v>625108.5</v>
      </c>
      <c r="M30" s="14" t="n">
        <v>293494.31</v>
      </c>
      <c r="N30" s="14" t="n">
        <v>134139.69</v>
      </c>
      <c r="O30" s="14" t="n">
        <v>1234972.58</v>
      </c>
      <c r="P30" s="14" t="n">
        <v>445813.36</v>
      </c>
      <c r="Q30" s="15" t="n">
        <v>1.012263447178486</v>
      </c>
    </row>
    <row r="31">
      <c r="A31" s="4" t="inlineStr">
        <is>
          <t>2026-02</t>
        </is>
      </c>
      <c r="B31" s="4" t="n">
        <v>30</v>
      </c>
      <c r="C31" s="14" t="n">
        <v>841882.84</v>
      </c>
      <c r="D31" s="14" t="n">
        <v>840323.52</v>
      </c>
      <c r="E31" s="14" t="n">
        <v>0</v>
      </c>
      <c r="F31" s="14" t="n">
        <v>51206</v>
      </c>
      <c r="G31" s="14" t="n">
        <v>9639.48</v>
      </c>
      <c r="H31" s="14" t="n">
        <v>138.06</v>
      </c>
      <c r="I31" s="14" t="n">
        <v>2070.68</v>
      </c>
      <c r="J31" s="14" t="n">
        <v>7993.64</v>
      </c>
      <c r="K31" s="14" t="n">
        <v>187765.23</v>
      </c>
      <c r="L31" s="14" t="n">
        <v>642364.33</v>
      </c>
      <c r="M31" s="14" t="n">
        <v>293928.23</v>
      </c>
      <c r="N31" s="14" t="n">
        <v>134847.69</v>
      </c>
      <c r="O31" s="14" t="n">
        <v>1258905.48</v>
      </c>
      <c r="P31" s="14" t="n">
        <v>418581.96</v>
      </c>
      <c r="Q31" s="15" t="n">
        <v>0.9994628830084499</v>
      </c>
    </row>
    <row r="32">
      <c r="A32" s="4" t="inlineStr">
        <is>
          <t>2026-03</t>
        </is>
      </c>
      <c r="B32" s="4" t="n">
        <v>31</v>
      </c>
      <c r="C32" s="14" t="n">
        <v>859142.0600000001</v>
      </c>
      <c r="D32" s="14" t="n">
        <v>847934.61</v>
      </c>
      <c r="E32" s="14" t="n">
        <v>0</v>
      </c>
      <c r="F32" s="14" t="n">
        <v>16726</v>
      </c>
      <c r="G32" s="14" t="n">
        <v>11911.38</v>
      </c>
      <c r="H32" s="14" t="n">
        <v>0</v>
      </c>
      <c r="I32" s="14" t="n">
        <v>1394.48</v>
      </c>
      <c r="J32" s="14" t="n">
        <v>9983.68</v>
      </c>
      <c r="K32" s="14" t="n">
        <v>189646.48</v>
      </c>
      <c r="L32" s="14" t="n">
        <v>608782.86</v>
      </c>
      <c r="M32" s="14" t="n">
        <v>311868.23</v>
      </c>
      <c r="N32" s="14" t="n">
        <v>135564.53</v>
      </c>
      <c r="O32" s="14" t="n">
        <v>1245862.1</v>
      </c>
      <c r="P32" s="14" t="n">
        <v>397927.49</v>
      </c>
      <c r="Q32" s="15" t="n">
        <v>1.000633366039389</v>
      </c>
    </row>
    <row r="33">
      <c r="A33" s="4" t="inlineStr">
        <is>
          <t>2026-04</t>
        </is>
      </c>
      <c r="B33" s="4" t="n">
        <v>32</v>
      </c>
      <c r="C33" s="14" t="n">
        <v>889938.42</v>
      </c>
      <c r="D33" s="14" t="n">
        <v>880948.4300000001</v>
      </c>
      <c r="E33" s="14" t="n">
        <v>0</v>
      </c>
      <c r="F33" s="14" t="n">
        <v>32351</v>
      </c>
      <c r="G33" s="14" t="n">
        <v>12298.74</v>
      </c>
      <c r="H33" s="14" t="n">
        <v>0</v>
      </c>
      <c r="I33" s="14" t="n">
        <v>1198.54</v>
      </c>
      <c r="J33" s="14" t="n">
        <v>12654.84</v>
      </c>
      <c r="K33" s="14" t="n">
        <v>193156.76</v>
      </c>
      <c r="L33" s="14" t="n">
        <v>634198.92</v>
      </c>
      <c r="M33" s="14" t="n">
        <v>312314.39</v>
      </c>
      <c r="N33" s="14" t="n">
        <v>136290.34</v>
      </c>
      <c r="O33" s="14" t="n">
        <v>1275960.41</v>
      </c>
      <c r="P33" s="14" t="n">
        <v>395011.98</v>
      </c>
      <c r="Q33" s="15" t="n">
        <v>0.9981904738780918</v>
      </c>
    </row>
    <row r="34">
      <c r="A34" s="4" t="inlineStr">
        <is>
          <t>2026-05</t>
        </is>
      </c>
      <c r="B34" s="4" t="n">
        <v>33</v>
      </c>
      <c r="C34" s="14" t="n">
        <v>925608.14</v>
      </c>
      <c r="D34" s="14" t="n">
        <v>920746.22</v>
      </c>
      <c r="E34" s="14" t="n">
        <v>0</v>
      </c>
      <c r="F34" s="14" t="n">
        <v>30749</v>
      </c>
      <c r="G34" s="14" t="n">
        <v>10644.58</v>
      </c>
      <c r="H34" s="14" t="n">
        <v>1408</v>
      </c>
      <c r="I34" s="14" t="n">
        <v>1039.58</v>
      </c>
      <c r="J34" s="14" t="n">
        <v>6092.28</v>
      </c>
      <c r="K34" s="14" t="n">
        <v>196891.28</v>
      </c>
      <c r="L34" s="14" t="n">
        <v>637719.86</v>
      </c>
      <c r="M34" s="14" t="n">
        <v>312766.79</v>
      </c>
      <c r="N34" s="14" t="n">
        <v>137025.22</v>
      </c>
      <c r="O34" s="14" t="n">
        <v>1284403.15</v>
      </c>
      <c r="P34" s="14" t="n">
        <v>363656.93</v>
      </c>
      <c r="Q34" s="15" t="n">
        <v>1.003947149511761</v>
      </c>
    </row>
    <row r="35">
      <c r="A35" s="4" t="inlineStr">
        <is>
          <t>2026-06</t>
        </is>
      </c>
      <c r="B35" s="4" t="n">
        <v>34</v>
      </c>
      <c r="C35" s="14" t="n">
        <v>968801.8199999999</v>
      </c>
      <c r="D35" s="14" t="n">
        <v>966283.71</v>
      </c>
      <c r="E35" s="14" t="n">
        <v>0</v>
      </c>
      <c r="F35" s="14" t="n">
        <v>39709</v>
      </c>
      <c r="G35" s="14" t="n">
        <v>14604.2</v>
      </c>
      <c r="H35" s="14" t="n">
        <v>0</v>
      </c>
      <c r="I35" s="14" t="n">
        <v>2529.56</v>
      </c>
      <c r="J35" s="14" t="n">
        <v>8589.959999999999</v>
      </c>
      <c r="K35" s="14" t="n">
        <v>213599.39</v>
      </c>
      <c r="L35" s="14" t="n">
        <v>657285.73</v>
      </c>
      <c r="M35" s="14" t="n">
        <v>313225.52</v>
      </c>
      <c r="N35" s="14" t="n">
        <v>137769.29</v>
      </c>
      <c r="O35" s="14" t="n">
        <v>1321879.93</v>
      </c>
      <c r="P35" s="14" t="n">
        <v>355596.22</v>
      </c>
      <c r="Q35" s="15" t="n">
        <v>1.003764746494126</v>
      </c>
    </row>
    <row r="36">
      <c r="A36" s="4" t="inlineStr">
        <is>
          <t>2026-07</t>
        </is>
      </c>
      <c r="B36" s="4" t="n">
        <v>35</v>
      </c>
      <c r="C36" s="14" t="n">
        <v>997181.74</v>
      </c>
      <c r="D36" s="14" t="n">
        <v>991983.24</v>
      </c>
      <c r="E36" s="14" t="n">
        <v>0</v>
      </c>
      <c r="F36" s="14" t="n">
        <v>17665</v>
      </c>
      <c r="G36" s="14" t="n">
        <v>14060.88</v>
      </c>
      <c r="H36" s="14" t="n">
        <v>0</v>
      </c>
      <c r="I36" s="14" t="n">
        <v>888.8</v>
      </c>
      <c r="J36" s="14" t="n">
        <v>2457.16</v>
      </c>
      <c r="K36" s="14" t="n">
        <v>216692.81</v>
      </c>
      <c r="L36" s="14" t="n">
        <v>636947.36</v>
      </c>
      <c r="M36" s="14" t="n">
        <v>331190.68</v>
      </c>
      <c r="N36" s="14" t="n">
        <v>138522.65</v>
      </c>
      <c r="O36" s="14" t="n">
        <v>1323353.5</v>
      </c>
      <c r="P36" s="14" t="n">
        <v>331370.26</v>
      </c>
      <c r="Q36" s="15" t="n">
        <v>1.01105997096496</v>
      </c>
    </row>
    <row r="37">
      <c r="A37" s="4" t="inlineStr">
        <is>
          <t>2026-08</t>
        </is>
      </c>
      <c r="B37" s="4" t="n">
        <v>36</v>
      </c>
      <c r="C37" s="14" t="n">
        <v>1031192.8</v>
      </c>
      <c r="D37" s="14" t="n">
        <v>1025405.25</v>
      </c>
      <c r="E37" s="14" t="n">
        <v>0</v>
      </c>
      <c r="F37" s="14" t="n">
        <v>27328</v>
      </c>
      <c r="G37" s="14" t="n">
        <v>13863.2</v>
      </c>
      <c r="H37" s="14" t="n">
        <v>0</v>
      </c>
      <c r="I37" s="14" t="n">
        <v>1708.28</v>
      </c>
      <c r="J37" s="14" t="n">
        <v>5471.86</v>
      </c>
      <c r="K37" s="14" t="n">
        <v>220400.01</v>
      </c>
      <c r="L37" s="14" t="n">
        <v>654867.05</v>
      </c>
      <c r="M37" s="14" t="n">
        <v>331662.35</v>
      </c>
      <c r="N37" s="14" t="n">
        <v>139285.43</v>
      </c>
      <c r="O37" s="14" t="n">
        <v>1346214.84</v>
      </c>
      <c r="P37" s="14" t="n">
        <v>320809.59</v>
      </c>
      <c r="Q37" s="15" t="n">
        <v>1.006701947831496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16" customWidth="1" min="7" max="7"/>
  </cols>
  <sheetData>
    <row r="1">
      <c r="A1" s="13" t="inlineStr">
        <is>
          <t>segment</t>
        </is>
      </c>
      <c r="B1" s="13" t="inlineStr">
        <is>
          <t>gross_margin</t>
        </is>
      </c>
      <c r="C1" s="13" t="inlineStr">
        <is>
          <t>monthly_nrr</t>
        </is>
      </c>
      <c r="D1" s="13" t="inlineStr">
        <is>
          <t>outbound_acv</t>
        </is>
      </c>
      <c r="E1" s="13" t="inlineStr">
        <is>
          <t>sales_cycle_lag_months</t>
        </is>
      </c>
      <c r="F1" s="13" t="inlineStr">
        <is>
          <t>paid_social_mix</t>
        </is>
      </c>
      <c r="G1" s="13" t="inlineStr">
        <is>
          <t>sales_effort_index</t>
        </is>
      </c>
    </row>
    <row r="2">
      <c r="A2" s="4" t="inlineStr">
        <is>
          <t>SMB</t>
        </is>
      </c>
      <c r="B2" s="16" t="n">
        <v>0.82</v>
      </c>
      <c r="C2" s="15" t="n">
        <v>0.982656223339803</v>
      </c>
      <c r="D2" s="17" t="n">
        <v>8556</v>
      </c>
      <c r="E2" s="18" t="n">
        <v>1</v>
      </c>
      <c r="F2" s="19" t="n">
        <v>0.6806998359759432</v>
      </c>
      <c r="G2" s="18" t="n">
        <v>1</v>
      </c>
    </row>
    <row r="3">
      <c r="A3" s="4" t="inlineStr">
        <is>
          <t>MidMarket</t>
        </is>
      </c>
      <c r="B3" s="16" t="n">
        <v>0.78</v>
      </c>
      <c r="C3" s="15" t="n">
        <v>1.001355170158315</v>
      </c>
      <c r="D3" s="17" t="n">
        <v>26764.13793103448</v>
      </c>
      <c r="E3" s="18" t="n">
        <v>2</v>
      </c>
      <c r="F3" s="19" t="n">
        <v>0.3193001640240569</v>
      </c>
      <c r="G3" s="18" t="n">
        <v>2.2</v>
      </c>
    </row>
    <row r="4">
      <c r="A4" s="4" t="inlineStr">
        <is>
          <t>Enterprise</t>
        </is>
      </c>
      <c r="B4" s="16" t="n">
        <v>0.735</v>
      </c>
      <c r="C4" s="15" t="n">
        <v>1.012508293330211</v>
      </c>
      <c r="D4" s="17" t="n">
        <v>93486.46153846153</v>
      </c>
      <c r="E4" s="18" t="n">
        <v>4</v>
      </c>
      <c r="F4" s="19" t="n">
        <v>0</v>
      </c>
      <c r="G4" s="1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3" t="inlineStr">
        <is>
          <t>channel</t>
        </is>
      </c>
      <c r="B1" s="13" t="inlineStr">
        <is>
          <t>n_wins</t>
        </is>
      </c>
      <c r="C1" s="13" t="inlineStr">
        <is>
          <t>new_acv</t>
        </is>
      </c>
      <c r="D1" s="13" t="inlineStr">
        <is>
          <t>avg_acv</t>
        </is>
      </c>
      <c r="E1" s="13" t="inlineStr">
        <is>
          <t>gross_margin</t>
        </is>
      </c>
      <c r="F1" s="13" t="inlineStr">
        <is>
          <t>program_spend</t>
        </is>
      </c>
      <c r="G1" s="13" t="inlineStr">
        <is>
          <t>sdr_payroll</t>
        </is>
      </c>
      <c r="H1" s="13" t="inlineStr">
        <is>
          <t>shared_sales_alloc</t>
        </is>
      </c>
      <c r="I1" s="13" t="inlineStr">
        <is>
          <t>commission</t>
        </is>
      </c>
      <c r="J1" s="13" t="inlineStr">
        <is>
          <t>monthly_logo_churn_pct</t>
        </is>
      </c>
      <c r="K1" s="13" t="inlineStr">
        <is>
          <t>monthly_nrr_pct</t>
        </is>
      </c>
    </row>
    <row r="2">
      <c r="A2" s="4" t="inlineStr">
        <is>
          <t>events</t>
        </is>
      </c>
      <c r="B2" s="20" t="n">
        <v>2</v>
      </c>
      <c r="C2" s="17" t="n">
        <v>118140</v>
      </c>
      <c r="D2" s="17" t="n">
        <v>59070</v>
      </c>
      <c r="E2" s="16" t="n">
        <v>0.742</v>
      </c>
      <c r="F2" s="17" t="n">
        <v>289850</v>
      </c>
      <c r="G2" s="17" t="n">
        <v>0</v>
      </c>
      <c r="H2" s="17" t="n">
        <v>50316</v>
      </c>
      <c r="I2" s="17" t="n">
        <v>11814</v>
      </c>
      <c r="J2" s="21" t="n">
        <v>0</v>
      </c>
      <c r="K2" s="21" t="n">
        <v>1.0291</v>
      </c>
    </row>
    <row r="3">
      <c r="A3" s="4" t="inlineStr">
        <is>
          <t>inbound_content</t>
        </is>
      </c>
      <c r="B3" s="20" t="n">
        <v>23</v>
      </c>
      <c r="C3" s="17" t="n">
        <v>611340</v>
      </c>
      <c r="D3" s="17" t="n">
        <v>26580</v>
      </c>
      <c r="E3" s="16" t="n">
        <v>0.773</v>
      </c>
      <c r="F3" s="17" t="n">
        <v>303167</v>
      </c>
      <c r="G3" s="17" t="n">
        <v>0</v>
      </c>
      <c r="H3" s="17" t="n">
        <v>374407</v>
      </c>
      <c r="I3" s="17" t="n">
        <v>61134</v>
      </c>
      <c r="J3" s="21" t="n">
        <v>0.0117</v>
      </c>
      <c r="K3" s="21" t="n">
        <v>1.0054</v>
      </c>
    </row>
    <row r="4">
      <c r="A4" s="4" t="inlineStr">
        <is>
          <t>outbound_sdr</t>
        </is>
      </c>
      <c r="B4" s="20" t="n">
        <v>46</v>
      </c>
      <c r="C4" s="17" t="n">
        <v>2025708</v>
      </c>
      <c r="D4" s="17" t="n">
        <v>44037</v>
      </c>
      <c r="E4" s="16" t="n">
        <v>0.754</v>
      </c>
      <c r="F4" s="17" t="n">
        <v>186000</v>
      </c>
      <c r="G4" s="17" t="n">
        <v>1572000</v>
      </c>
      <c r="H4" s="17" t="n">
        <v>1361482</v>
      </c>
      <c r="I4" s="17" t="n">
        <v>202571</v>
      </c>
      <c r="J4" s="21" t="n">
        <v>0.006</v>
      </c>
      <c r="K4" s="21" t="n">
        <v>1.0089</v>
      </c>
    </row>
    <row r="5">
      <c r="A5" s="4" t="inlineStr">
        <is>
          <t>paid_search</t>
        </is>
      </c>
      <c r="B5" s="20" t="n">
        <v>57</v>
      </c>
      <c r="C5" s="17" t="n">
        <v>851304</v>
      </c>
      <c r="D5" s="17" t="n">
        <v>14935</v>
      </c>
      <c r="E5" s="16" t="n">
        <v>0.788</v>
      </c>
      <c r="F5" s="17" t="n">
        <v>537200</v>
      </c>
      <c r="G5" s="17" t="n">
        <v>0</v>
      </c>
      <c r="H5" s="17" t="n">
        <v>590469</v>
      </c>
      <c r="I5" s="17" t="n">
        <v>85130</v>
      </c>
      <c r="J5" s="21" t="n">
        <v>0.0189</v>
      </c>
      <c r="K5" s="21" t="n">
        <v>0.9978</v>
      </c>
    </row>
    <row r="6">
      <c r="A6" s="4" t="inlineStr">
        <is>
          <t>paid_social</t>
        </is>
      </c>
      <c r="B6" s="20" t="n">
        <v>36</v>
      </c>
      <c r="C6" s="17" t="n">
        <v>241428</v>
      </c>
      <c r="D6" s="17" t="n">
        <v>6706</v>
      </c>
      <c r="E6" s="16" t="n">
        <v>0.8070000000000001</v>
      </c>
      <c r="F6" s="17" t="n">
        <v>768000</v>
      </c>
      <c r="G6" s="17" t="n">
        <v>0</v>
      </c>
      <c r="H6" s="17" t="n">
        <v>319652</v>
      </c>
      <c r="I6" s="17" t="n">
        <v>24143</v>
      </c>
      <c r="J6" s="21" t="n">
        <v>0.0634</v>
      </c>
      <c r="K6" s="21" t="n">
        <v>0.9517</v>
      </c>
    </row>
    <row r="7">
      <c r="A7" s="4" t="inlineStr">
        <is>
          <t>partner</t>
        </is>
      </c>
      <c r="B7" s="20" t="n">
        <v>16</v>
      </c>
      <c r="C7" s="17" t="n">
        <v>597828</v>
      </c>
      <c r="D7" s="17" t="n">
        <v>37364</v>
      </c>
      <c r="E7" s="16" t="n">
        <v>0.767</v>
      </c>
      <c r="F7" s="17" t="n">
        <v>205200</v>
      </c>
      <c r="G7" s="17" t="n">
        <v>0</v>
      </c>
      <c r="H7" s="17" t="n">
        <v>213101</v>
      </c>
      <c r="I7" s="17" t="n">
        <v>59783</v>
      </c>
      <c r="J7" s="21" t="n">
        <v>0.013</v>
      </c>
      <c r="K7" s="21" t="n">
        <v>1.003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4" customWidth="1" min="10" max="10"/>
  </cols>
  <sheetData>
    <row r="1">
      <c r="A1" s="1" t="inlineStr">
        <is>
          <t>CHANNEL UNIT ECONOMICS — trailing 12 months, all formulas</t>
        </is>
      </c>
    </row>
    <row r="2">
      <c r="A2" s="2" t="inlineStr">
        <is>
          <t>LTV = monthly gross profit x (1 - NRR^60) / (1 - NRR). Finite 60-month horizon, observed net revenue retention.</t>
        </is>
      </c>
    </row>
    <row r="4">
      <c r="A4" s="13" t="inlineStr">
        <is>
          <t>channel</t>
        </is>
      </c>
      <c r="B4" s="13" t="inlineStr">
        <is>
          <t>wins (12m)</t>
        </is>
      </c>
      <c r="C4" s="13" t="inlineStr">
        <is>
          <t>avg ACV</t>
        </is>
      </c>
      <c r="D4" s="13" t="inlineStr">
        <is>
          <t>total CAC spend</t>
        </is>
      </c>
      <c r="E4" s="13" t="inlineStr">
        <is>
          <t>CAC</t>
        </is>
      </c>
      <c r="F4" s="13" t="inlineStr">
        <is>
          <t>monthly gross profit</t>
        </is>
      </c>
      <c r="G4" s="13" t="inlineStr">
        <is>
          <t>CAC payback (months)</t>
        </is>
      </c>
      <c r="H4" s="13" t="inlineStr">
        <is>
          <t>LTV (60m, NRR based)</t>
        </is>
      </c>
      <c r="I4" s="13" t="inlineStr">
        <is>
          <t>LTV / CAC</t>
        </is>
      </c>
      <c r="J4" s="13" t="inlineStr">
        <is>
          <t>verdict vs hurdle</t>
        </is>
      </c>
    </row>
    <row r="5">
      <c r="A5" s="5">
        <f>DATA_CHANNELS!A2</f>
        <v/>
      </c>
      <c r="B5" s="22">
        <f>DATA_CHANNELS!B2</f>
        <v/>
      </c>
      <c r="C5" s="23">
        <f>DATA_CHANNELS!D2</f>
        <v/>
      </c>
      <c r="D5" s="23">
        <f>DATA_CHANNELS!F2+DATA_CHANNELS!G2+DATA_CHANNELS!H2+DATA_CHANNELS!I2</f>
        <v/>
      </c>
      <c r="E5" s="24">
        <f>D5/B5</f>
        <v/>
      </c>
      <c r="F5" s="23">
        <f>C5/12*DATA_CHANNELS!E2</f>
        <v/>
      </c>
      <c r="G5" s="25">
        <f>IFERROR(E5/F5,"n/a")</f>
        <v/>
      </c>
      <c r="H5" s="23">
        <f>IF(ABS(1-DATA_CHANNELS!K2)&lt;0.0000001,F5*60,F5*(1-DATA_CHANNELS!K2^60)/(1-DATA_CHANNELS!K2))</f>
        <v/>
      </c>
      <c r="I5" s="25">
        <f>IFERROR(H5/E5,"n/a")</f>
        <v/>
      </c>
      <c r="J5" s="5">
        <f>IF(G5&lt;=CONTROL!$B$9,"PASS - within hurdle","FAIL - payback beyond runway")</f>
        <v/>
      </c>
    </row>
    <row r="6">
      <c r="A6" s="5">
        <f>DATA_CHANNELS!A3</f>
        <v/>
      </c>
      <c r="B6" s="22">
        <f>DATA_CHANNELS!B3</f>
        <v/>
      </c>
      <c r="C6" s="23">
        <f>DATA_CHANNELS!D3</f>
        <v/>
      </c>
      <c r="D6" s="23">
        <f>DATA_CHANNELS!F3+DATA_CHANNELS!G3+DATA_CHANNELS!H3+DATA_CHANNELS!I3</f>
        <v/>
      </c>
      <c r="E6" s="24">
        <f>D6/B6</f>
        <v/>
      </c>
      <c r="F6" s="23">
        <f>C6/12*DATA_CHANNELS!E3</f>
        <v/>
      </c>
      <c r="G6" s="25">
        <f>IFERROR(E6/F6,"n/a")</f>
        <v/>
      </c>
      <c r="H6" s="23">
        <f>IF(ABS(1-DATA_CHANNELS!K3)&lt;0.0000001,F6*60,F6*(1-DATA_CHANNELS!K3^60)/(1-DATA_CHANNELS!K3))</f>
        <v/>
      </c>
      <c r="I6" s="25">
        <f>IFERROR(H6/E6,"n/a")</f>
        <v/>
      </c>
      <c r="J6" s="5">
        <f>IF(G6&lt;=CONTROL!$B$9,"PASS - within hurdle","FAIL - payback beyond runway")</f>
        <v/>
      </c>
    </row>
    <row r="7">
      <c r="A7" s="5">
        <f>DATA_CHANNELS!A4</f>
        <v/>
      </c>
      <c r="B7" s="22">
        <f>DATA_CHANNELS!B4</f>
        <v/>
      </c>
      <c r="C7" s="23">
        <f>DATA_CHANNELS!D4</f>
        <v/>
      </c>
      <c r="D7" s="23">
        <f>DATA_CHANNELS!F4+DATA_CHANNELS!G4+DATA_CHANNELS!H4+DATA_CHANNELS!I4</f>
        <v/>
      </c>
      <c r="E7" s="24">
        <f>D7/B7</f>
        <v/>
      </c>
      <c r="F7" s="23">
        <f>C7/12*DATA_CHANNELS!E4</f>
        <v/>
      </c>
      <c r="G7" s="25">
        <f>IFERROR(E7/F7,"n/a")</f>
        <v/>
      </c>
      <c r="H7" s="23">
        <f>IF(ABS(1-DATA_CHANNELS!K4)&lt;0.0000001,F7*60,F7*(1-DATA_CHANNELS!K4^60)/(1-DATA_CHANNELS!K4))</f>
        <v/>
      </c>
      <c r="I7" s="25">
        <f>IFERROR(H7/E7,"n/a")</f>
        <v/>
      </c>
      <c r="J7" s="5">
        <f>IF(G7&lt;=CONTROL!$B$9,"PASS - within hurdle","FAIL - payback beyond runway")</f>
        <v/>
      </c>
    </row>
    <row r="8">
      <c r="A8" s="5">
        <f>DATA_CHANNELS!A5</f>
        <v/>
      </c>
      <c r="B8" s="22">
        <f>DATA_CHANNELS!B5</f>
        <v/>
      </c>
      <c r="C8" s="23">
        <f>DATA_CHANNELS!D5</f>
        <v/>
      </c>
      <c r="D8" s="23">
        <f>DATA_CHANNELS!F5+DATA_CHANNELS!G5+DATA_CHANNELS!H5+DATA_CHANNELS!I5</f>
        <v/>
      </c>
      <c r="E8" s="24">
        <f>D8/B8</f>
        <v/>
      </c>
      <c r="F8" s="23">
        <f>C8/12*DATA_CHANNELS!E5</f>
        <v/>
      </c>
      <c r="G8" s="25">
        <f>IFERROR(E8/F8,"n/a")</f>
        <v/>
      </c>
      <c r="H8" s="23">
        <f>IF(ABS(1-DATA_CHANNELS!K5)&lt;0.0000001,F8*60,F8*(1-DATA_CHANNELS!K5^60)/(1-DATA_CHANNELS!K5))</f>
        <v/>
      </c>
      <c r="I8" s="25">
        <f>IFERROR(H8/E8,"n/a")</f>
        <v/>
      </c>
      <c r="J8" s="5">
        <f>IF(G8&lt;=CONTROL!$B$9,"PASS - within hurdle","FAIL - payback beyond runway")</f>
        <v/>
      </c>
    </row>
    <row r="9">
      <c r="A9" s="5">
        <f>DATA_CHANNELS!A6</f>
        <v/>
      </c>
      <c r="B9" s="22">
        <f>DATA_CHANNELS!B6</f>
        <v/>
      </c>
      <c r="C9" s="23">
        <f>DATA_CHANNELS!D6</f>
        <v/>
      </c>
      <c r="D9" s="23">
        <f>DATA_CHANNELS!F6+DATA_CHANNELS!G6+DATA_CHANNELS!H6+DATA_CHANNELS!I6</f>
        <v/>
      </c>
      <c r="E9" s="24">
        <f>D9/B9</f>
        <v/>
      </c>
      <c r="F9" s="23">
        <f>C9/12*DATA_CHANNELS!E6</f>
        <v/>
      </c>
      <c r="G9" s="25">
        <f>IFERROR(E9/F9,"n/a")</f>
        <v/>
      </c>
      <c r="H9" s="23">
        <f>IF(ABS(1-DATA_CHANNELS!K6)&lt;0.0000001,F9*60,F9*(1-DATA_CHANNELS!K6^60)/(1-DATA_CHANNELS!K6))</f>
        <v/>
      </c>
      <c r="I9" s="25">
        <f>IFERROR(H9/E9,"n/a")</f>
        <v/>
      </c>
      <c r="J9" s="5">
        <f>IF(G9&lt;=CONTROL!$B$9,"PASS - within hurdle","FAIL - payback beyond runway")</f>
        <v/>
      </c>
    </row>
    <row r="10">
      <c r="A10" s="5">
        <f>DATA_CHANNELS!A7</f>
        <v/>
      </c>
      <c r="B10" s="22">
        <f>DATA_CHANNELS!B7</f>
        <v/>
      </c>
      <c r="C10" s="23">
        <f>DATA_CHANNELS!D7</f>
        <v/>
      </c>
      <c r="D10" s="23">
        <f>DATA_CHANNELS!F7+DATA_CHANNELS!G7+DATA_CHANNELS!H7+DATA_CHANNELS!I7</f>
        <v/>
      </c>
      <c r="E10" s="24">
        <f>D10/B10</f>
        <v/>
      </c>
      <c r="F10" s="23">
        <f>C10/12*DATA_CHANNELS!E7</f>
        <v/>
      </c>
      <c r="G10" s="25">
        <f>IFERROR(E10/F10,"n/a")</f>
        <v/>
      </c>
      <c r="H10" s="23">
        <f>IF(ABS(1-DATA_CHANNELS!K7)&lt;0.0000001,F10*60,F10*(1-DATA_CHANNELS!K7^60)/(1-DATA_CHANNELS!K7))</f>
        <v/>
      </c>
      <c r="I10" s="25">
        <f>IFERROR(H10/E10,"n/a")</f>
        <v/>
      </c>
      <c r="J10" s="5">
        <f>IF(G10&lt;=CONTROL!$B$9,"PASS - within hurdle","FAIL - payback beyond runway")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18-MONTH FORECAST — every cell below is a formula</t>
        </is>
      </c>
    </row>
    <row r="2">
      <c r="A2" s="2" t="inlineStr">
        <is>
          <t>Block 1 recreates the Holt recursion that won the backtest. Block 2 projects it, adds the scenario, and rolls cash forward.</t>
        </is>
      </c>
    </row>
    <row r="4">
      <c r="A4" s="3" t="inlineStr">
        <is>
          <t>BLOCK 1 — Holt smoothing over actual MRR</t>
        </is>
      </c>
    </row>
    <row r="5">
      <c r="A5" s="13" t="inlineStr">
        <is>
          <t>month</t>
        </is>
      </c>
      <c r="B5" s="13" t="inlineStr">
        <is>
          <t>actual MRR</t>
        </is>
      </c>
      <c r="C5" s="13" t="inlineStr">
        <is>
          <t>level</t>
        </is>
      </c>
      <c r="D5" s="13" t="inlineStr">
        <is>
          <t>trend</t>
        </is>
      </c>
    </row>
    <row r="6">
      <c r="A6" s="5">
        <f>DATA_ACTUALS!A2</f>
        <v/>
      </c>
      <c r="B6" s="26">
        <f>DATA_ACTUALS!C2</f>
        <v/>
      </c>
      <c r="C6" s="27">
        <f>B6</f>
        <v/>
      </c>
      <c r="D6" s="27">
        <f>B7-B6</f>
        <v/>
      </c>
    </row>
    <row r="7">
      <c r="A7" s="5">
        <f>DATA_ACTUALS!A3</f>
        <v/>
      </c>
      <c r="B7" s="26">
        <f>DATA_ACTUALS!C3</f>
        <v/>
      </c>
      <c r="C7" s="26">
        <f>CONTROL!$B$10*B7+(1-CONTROL!$B$10)*(C6+D6)</f>
        <v/>
      </c>
      <c r="D7" s="26">
        <f>CONTROL!$B$11*(C7-C6)+(1-CONTROL!$B$11)*D6</f>
        <v/>
      </c>
    </row>
    <row r="8">
      <c r="A8" s="5">
        <f>DATA_ACTUALS!A4</f>
        <v/>
      </c>
      <c r="B8" s="26">
        <f>DATA_ACTUALS!C4</f>
        <v/>
      </c>
      <c r="C8" s="26">
        <f>CONTROL!$B$10*B8+(1-CONTROL!$B$10)*(C7+D7)</f>
        <v/>
      </c>
      <c r="D8" s="26">
        <f>CONTROL!$B$11*(C8-C7)+(1-CONTROL!$B$11)*D7</f>
        <v/>
      </c>
    </row>
    <row r="9">
      <c r="A9" s="5">
        <f>DATA_ACTUALS!A5</f>
        <v/>
      </c>
      <c r="B9" s="26">
        <f>DATA_ACTUALS!C5</f>
        <v/>
      </c>
      <c r="C9" s="26">
        <f>CONTROL!$B$10*B9+(1-CONTROL!$B$10)*(C8+D8)</f>
        <v/>
      </c>
      <c r="D9" s="26">
        <f>CONTROL!$B$11*(C9-C8)+(1-CONTROL!$B$11)*D8</f>
        <v/>
      </c>
    </row>
    <row r="10">
      <c r="A10" s="5">
        <f>DATA_ACTUALS!A6</f>
        <v/>
      </c>
      <c r="B10" s="26">
        <f>DATA_ACTUALS!C6</f>
        <v/>
      </c>
      <c r="C10" s="26">
        <f>CONTROL!$B$10*B10+(1-CONTROL!$B$10)*(C9+D9)</f>
        <v/>
      </c>
      <c r="D10" s="26">
        <f>CONTROL!$B$11*(C10-C9)+(1-CONTROL!$B$11)*D9</f>
        <v/>
      </c>
    </row>
    <row r="11">
      <c r="A11" s="5">
        <f>DATA_ACTUALS!A7</f>
        <v/>
      </c>
      <c r="B11" s="26">
        <f>DATA_ACTUALS!C7</f>
        <v/>
      </c>
      <c r="C11" s="26">
        <f>CONTROL!$B$10*B11+(1-CONTROL!$B$10)*(C10+D10)</f>
        <v/>
      </c>
      <c r="D11" s="26">
        <f>CONTROL!$B$11*(C11-C10)+(1-CONTROL!$B$11)*D10</f>
        <v/>
      </c>
    </row>
    <row r="12">
      <c r="A12" s="5">
        <f>DATA_ACTUALS!A8</f>
        <v/>
      </c>
      <c r="B12" s="26">
        <f>DATA_ACTUALS!C8</f>
        <v/>
      </c>
      <c r="C12" s="26">
        <f>CONTROL!$B$10*B12+(1-CONTROL!$B$10)*(C11+D11)</f>
        <v/>
      </c>
      <c r="D12" s="26">
        <f>CONTROL!$B$11*(C12-C11)+(1-CONTROL!$B$11)*D11</f>
        <v/>
      </c>
    </row>
    <row r="13">
      <c r="A13" s="5">
        <f>DATA_ACTUALS!A9</f>
        <v/>
      </c>
      <c r="B13" s="26">
        <f>DATA_ACTUALS!C9</f>
        <v/>
      </c>
      <c r="C13" s="26">
        <f>CONTROL!$B$10*B13+(1-CONTROL!$B$10)*(C12+D12)</f>
        <v/>
      </c>
      <c r="D13" s="26">
        <f>CONTROL!$B$11*(C13-C12)+(1-CONTROL!$B$11)*D12</f>
        <v/>
      </c>
    </row>
    <row r="14">
      <c r="A14" s="5">
        <f>DATA_ACTUALS!A10</f>
        <v/>
      </c>
      <c r="B14" s="26">
        <f>DATA_ACTUALS!C10</f>
        <v/>
      </c>
      <c r="C14" s="26">
        <f>CONTROL!$B$10*B14+(1-CONTROL!$B$10)*(C13+D13)</f>
        <v/>
      </c>
      <c r="D14" s="26">
        <f>CONTROL!$B$11*(C14-C13)+(1-CONTROL!$B$11)*D13</f>
        <v/>
      </c>
    </row>
    <row r="15">
      <c r="A15" s="5">
        <f>DATA_ACTUALS!A11</f>
        <v/>
      </c>
      <c r="B15" s="26">
        <f>DATA_ACTUALS!C11</f>
        <v/>
      </c>
      <c r="C15" s="26">
        <f>CONTROL!$B$10*B15+(1-CONTROL!$B$10)*(C14+D14)</f>
        <v/>
      </c>
      <c r="D15" s="26">
        <f>CONTROL!$B$11*(C15-C14)+(1-CONTROL!$B$11)*D14</f>
        <v/>
      </c>
    </row>
    <row r="16">
      <c r="A16" s="5">
        <f>DATA_ACTUALS!A12</f>
        <v/>
      </c>
      <c r="B16" s="26">
        <f>DATA_ACTUALS!C12</f>
        <v/>
      </c>
      <c r="C16" s="26">
        <f>CONTROL!$B$10*B16+(1-CONTROL!$B$10)*(C15+D15)</f>
        <v/>
      </c>
      <c r="D16" s="26">
        <f>CONTROL!$B$11*(C16-C15)+(1-CONTROL!$B$11)*D15</f>
        <v/>
      </c>
    </row>
    <row r="17">
      <c r="A17" s="5">
        <f>DATA_ACTUALS!A13</f>
        <v/>
      </c>
      <c r="B17" s="26">
        <f>DATA_ACTUALS!C13</f>
        <v/>
      </c>
      <c r="C17" s="26">
        <f>CONTROL!$B$10*B17+(1-CONTROL!$B$10)*(C16+D16)</f>
        <v/>
      </c>
      <c r="D17" s="26">
        <f>CONTROL!$B$11*(C17-C16)+(1-CONTROL!$B$11)*D16</f>
        <v/>
      </c>
    </row>
    <row r="18">
      <c r="A18" s="5">
        <f>DATA_ACTUALS!A14</f>
        <v/>
      </c>
      <c r="B18" s="26">
        <f>DATA_ACTUALS!C14</f>
        <v/>
      </c>
      <c r="C18" s="26">
        <f>CONTROL!$B$10*B18+(1-CONTROL!$B$10)*(C17+D17)</f>
        <v/>
      </c>
      <c r="D18" s="26">
        <f>CONTROL!$B$11*(C18-C17)+(1-CONTROL!$B$11)*D17</f>
        <v/>
      </c>
    </row>
    <row r="19">
      <c r="A19" s="5">
        <f>DATA_ACTUALS!A15</f>
        <v/>
      </c>
      <c r="B19" s="26">
        <f>DATA_ACTUALS!C15</f>
        <v/>
      </c>
      <c r="C19" s="26">
        <f>CONTROL!$B$10*B19+(1-CONTROL!$B$10)*(C18+D18)</f>
        <v/>
      </c>
      <c r="D19" s="26">
        <f>CONTROL!$B$11*(C19-C18)+(1-CONTROL!$B$11)*D18</f>
        <v/>
      </c>
    </row>
    <row r="20">
      <c r="A20" s="5">
        <f>DATA_ACTUALS!A16</f>
        <v/>
      </c>
      <c r="B20" s="26">
        <f>DATA_ACTUALS!C16</f>
        <v/>
      </c>
      <c r="C20" s="26">
        <f>CONTROL!$B$10*B20+(1-CONTROL!$B$10)*(C19+D19)</f>
        <v/>
      </c>
      <c r="D20" s="26">
        <f>CONTROL!$B$11*(C20-C19)+(1-CONTROL!$B$11)*D19</f>
        <v/>
      </c>
    </row>
    <row r="21">
      <c r="A21" s="5">
        <f>DATA_ACTUALS!A17</f>
        <v/>
      </c>
      <c r="B21" s="26">
        <f>DATA_ACTUALS!C17</f>
        <v/>
      </c>
      <c r="C21" s="26">
        <f>CONTROL!$B$10*B21+(1-CONTROL!$B$10)*(C20+D20)</f>
        <v/>
      </c>
      <c r="D21" s="26">
        <f>CONTROL!$B$11*(C21-C20)+(1-CONTROL!$B$11)*D20</f>
        <v/>
      </c>
    </row>
    <row r="22">
      <c r="A22" s="5">
        <f>DATA_ACTUALS!A18</f>
        <v/>
      </c>
      <c r="B22" s="26">
        <f>DATA_ACTUALS!C18</f>
        <v/>
      </c>
      <c r="C22" s="26">
        <f>CONTROL!$B$10*B22+(1-CONTROL!$B$10)*(C21+D21)</f>
        <v/>
      </c>
      <c r="D22" s="26">
        <f>CONTROL!$B$11*(C22-C21)+(1-CONTROL!$B$11)*D21</f>
        <v/>
      </c>
    </row>
    <row r="23">
      <c r="A23" s="5">
        <f>DATA_ACTUALS!A19</f>
        <v/>
      </c>
      <c r="B23" s="26">
        <f>DATA_ACTUALS!C19</f>
        <v/>
      </c>
      <c r="C23" s="26">
        <f>CONTROL!$B$10*B23+(1-CONTROL!$B$10)*(C22+D22)</f>
        <v/>
      </c>
      <c r="D23" s="26">
        <f>CONTROL!$B$11*(C23-C22)+(1-CONTROL!$B$11)*D22</f>
        <v/>
      </c>
    </row>
    <row r="24">
      <c r="A24" s="5">
        <f>DATA_ACTUALS!A20</f>
        <v/>
      </c>
      <c r="B24" s="26">
        <f>DATA_ACTUALS!C20</f>
        <v/>
      </c>
      <c r="C24" s="26">
        <f>CONTROL!$B$10*B24+(1-CONTROL!$B$10)*(C23+D23)</f>
        <v/>
      </c>
      <c r="D24" s="26">
        <f>CONTROL!$B$11*(C24-C23)+(1-CONTROL!$B$11)*D23</f>
        <v/>
      </c>
    </row>
    <row r="25">
      <c r="A25" s="5">
        <f>DATA_ACTUALS!A21</f>
        <v/>
      </c>
      <c r="B25" s="26">
        <f>DATA_ACTUALS!C21</f>
        <v/>
      </c>
      <c r="C25" s="26">
        <f>CONTROL!$B$10*B25+(1-CONTROL!$B$10)*(C24+D24)</f>
        <v/>
      </c>
      <c r="D25" s="26">
        <f>CONTROL!$B$11*(C25-C24)+(1-CONTROL!$B$11)*D24</f>
        <v/>
      </c>
    </row>
    <row r="26">
      <c r="A26" s="5">
        <f>DATA_ACTUALS!A22</f>
        <v/>
      </c>
      <c r="B26" s="26">
        <f>DATA_ACTUALS!C22</f>
        <v/>
      </c>
      <c r="C26" s="26">
        <f>CONTROL!$B$10*B26+(1-CONTROL!$B$10)*(C25+D25)</f>
        <v/>
      </c>
      <c r="D26" s="26">
        <f>CONTROL!$B$11*(C26-C25)+(1-CONTROL!$B$11)*D25</f>
        <v/>
      </c>
    </row>
    <row r="27">
      <c r="A27" s="5">
        <f>DATA_ACTUALS!A23</f>
        <v/>
      </c>
      <c r="B27" s="26">
        <f>DATA_ACTUALS!C23</f>
        <v/>
      </c>
      <c r="C27" s="26">
        <f>CONTROL!$B$10*B27+(1-CONTROL!$B$10)*(C26+D26)</f>
        <v/>
      </c>
      <c r="D27" s="26">
        <f>CONTROL!$B$11*(C27-C26)+(1-CONTROL!$B$11)*D26</f>
        <v/>
      </c>
    </row>
    <row r="28">
      <c r="A28" s="5">
        <f>DATA_ACTUALS!A24</f>
        <v/>
      </c>
      <c r="B28" s="26">
        <f>DATA_ACTUALS!C24</f>
        <v/>
      </c>
      <c r="C28" s="26">
        <f>CONTROL!$B$10*B28+(1-CONTROL!$B$10)*(C27+D27)</f>
        <v/>
      </c>
      <c r="D28" s="26">
        <f>CONTROL!$B$11*(C28-C27)+(1-CONTROL!$B$11)*D27</f>
        <v/>
      </c>
    </row>
    <row r="29">
      <c r="A29" s="5">
        <f>DATA_ACTUALS!A25</f>
        <v/>
      </c>
      <c r="B29" s="26">
        <f>DATA_ACTUALS!C25</f>
        <v/>
      </c>
      <c r="C29" s="26">
        <f>CONTROL!$B$10*B29+(1-CONTROL!$B$10)*(C28+D28)</f>
        <v/>
      </c>
      <c r="D29" s="26">
        <f>CONTROL!$B$11*(C29-C28)+(1-CONTROL!$B$11)*D28</f>
        <v/>
      </c>
    </row>
    <row r="30">
      <c r="A30" s="5">
        <f>DATA_ACTUALS!A26</f>
        <v/>
      </c>
      <c r="B30" s="26">
        <f>DATA_ACTUALS!C26</f>
        <v/>
      </c>
      <c r="C30" s="26">
        <f>CONTROL!$B$10*B30+(1-CONTROL!$B$10)*(C29+D29)</f>
        <v/>
      </c>
      <c r="D30" s="26">
        <f>CONTROL!$B$11*(C30-C29)+(1-CONTROL!$B$11)*D29</f>
        <v/>
      </c>
    </row>
    <row r="31">
      <c r="A31" s="5">
        <f>DATA_ACTUALS!A27</f>
        <v/>
      </c>
      <c r="B31" s="26">
        <f>DATA_ACTUALS!C27</f>
        <v/>
      </c>
      <c r="C31" s="26">
        <f>CONTROL!$B$10*B31+(1-CONTROL!$B$10)*(C30+D30)</f>
        <v/>
      </c>
      <c r="D31" s="26">
        <f>CONTROL!$B$11*(C31-C30)+(1-CONTROL!$B$11)*D30</f>
        <v/>
      </c>
    </row>
    <row r="32">
      <c r="A32" s="5">
        <f>DATA_ACTUALS!A28</f>
        <v/>
      </c>
      <c r="B32" s="26">
        <f>DATA_ACTUALS!C28</f>
        <v/>
      </c>
      <c r="C32" s="26">
        <f>CONTROL!$B$10*B32+(1-CONTROL!$B$10)*(C31+D31)</f>
        <v/>
      </c>
      <c r="D32" s="26">
        <f>CONTROL!$B$11*(C32-C31)+(1-CONTROL!$B$11)*D31</f>
        <v/>
      </c>
    </row>
    <row r="33">
      <c r="A33" s="5">
        <f>DATA_ACTUALS!A29</f>
        <v/>
      </c>
      <c r="B33" s="26">
        <f>DATA_ACTUALS!C29</f>
        <v/>
      </c>
      <c r="C33" s="26">
        <f>CONTROL!$B$10*B33+(1-CONTROL!$B$10)*(C32+D32)</f>
        <v/>
      </c>
      <c r="D33" s="26">
        <f>CONTROL!$B$11*(C33-C32)+(1-CONTROL!$B$11)*D32</f>
        <v/>
      </c>
    </row>
    <row r="34">
      <c r="A34" s="5">
        <f>DATA_ACTUALS!A30</f>
        <v/>
      </c>
      <c r="B34" s="26">
        <f>DATA_ACTUALS!C30</f>
        <v/>
      </c>
      <c r="C34" s="26">
        <f>CONTROL!$B$10*B34+(1-CONTROL!$B$10)*(C33+D33)</f>
        <v/>
      </c>
      <c r="D34" s="26">
        <f>CONTROL!$B$11*(C34-C33)+(1-CONTROL!$B$11)*D33</f>
        <v/>
      </c>
    </row>
    <row r="35">
      <c r="A35" s="5">
        <f>DATA_ACTUALS!A31</f>
        <v/>
      </c>
      <c r="B35" s="26">
        <f>DATA_ACTUALS!C31</f>
        <v/>
      </c>
      <c r="C35" s="26">
        <f>CONTROL!$B$10*B35+(1-CONTROL!$B$10)*(C34+D34)</f>
        <v/>
      </c>
      <c r="D35" s="26">
        <f>CONTROL!$B$11*(C35-C34)+(1-CONTROL!$B$11)*D34</f>
        <v/>
      </c>
    </row>
    <row r="36">
      <c r="A36" s="5">
        <f>DATA_ACTUALS!A32</f>
        <v/>
      </c>
      <c r="B36" s="26">
        <f>DATA_ACTUALS!C32</f>
        <v/>
      </c>
      <c r="C36" s="26">
        <f>CONTROL!$B$10*B36+(1-CONTROL!$B$10)*(C35+D35)</f>
        <v/>
      </c>
      <c r="D36" s="26">
        <f>CONTROL!$B$11*(C36-C35)+(1-CONTROL!$B$11)*D35</f>
        <v/>
      </c>
    </row>
    <row r="37">
      <c r="A37" s="5">
        <f>DATA_ACTUALS!A33</f>
        <v/>
      </c>
      <c r="B37" s="26">
        <f>DATA_ACTUALS!C33</f>
        <v/>
      </c>
      <c r="C37" s="26">
        <f>CONTROL!$B$10*B37+(1-CONTROL!$B$10)*(C36+D36)</f>
        <v/>
      </c>
      <c r="D37" s="26">
        <f>CONTROL!$B$11*(C37-C36)+(1-CONTROL!$B$11)*D36</f>
        <v/>
      </c>
    </row>
    <row r="38">
      <c r="A38" s="5">
        <f>DATA_ACTUALS!A34</f>
        <v/>
      </c>
      <c r="B38" s="26">
        <f>DATA_ACTUALS!C34</f>
        <v/>
      </c>
      <c r="C38" s="26">
        <f>CONTROL!$B$10*B38+(1-CONTROL!$B$10)*(C37+D37)</f>
        <v/>
      </c>
      <c r="D38" s="26">
        <f>CONTROL!$B$11*(C38-C37)+(1-CONTROL!$B$11)*D37</f>
        <v/>
      </c>
    </row>
    <row r="39">
      <c r="A39" s="5">
        <f>DATA_ACTUALS!A35</f>
        <v/>
      </c>
      <c r="B39" s="26">
        <f>DATA_ACTUALS!C35</f>
        <v/>
      </c>
      <c r="C39" s="26">
        <f>CONTROL!$B$10*B39+(1-CONTROL!$B$10)*(C38+D38)</f>
        <v/>
      </c>
      <c r="D39" s="26">
        <f>CONTROL!$B$11*(C39-C38)+(1-CONTROL!$B$11)*D38</f>
        <v/>
      </c>
    </row>
    <row r="40">
      <c r="A40" s="5">
        <f>DATA_ACTUALS!A36</f>
        <v/>
      </c>
      <c r="B40" s="26">
        <f>DATA_ACTUALS!C36</f>
        <v/>
      </c>
      <c r="C40" s="26">
        <f>CONTROL!$B$10*B40+(1-CONTROL!$B$10)*(C39+D39)</f>
        <v/>
      </c>
      <c r="D40" s="26">
        <f>CONTROL!$B$11*(C40-C39)+(1-CONTROL!$B$11)*D39</f>
        <v/>
      </c>
    </row>
    <row r="41">
      <c r="A41" s="5">
        <f>DATA_ACTUALS!A37</f>
        <v/>
      </c>
      <c r="B41" s="26">
        <f>DATA_ACTUALS!C37</f>
        <v/>
      </c>
      <c r="C41" s="26">
        <f>CONTROL!$B$10*B41+(1-CONTROL!$B$10)*(C40+D40)</f>
        <v/>
      </c>
      <c r="D41" s="26">
        <f>CONTROL!$B$11*(C41-C40)+(1-CONTROL!$B$11)*D40</f>
        <v/>
      </c>
    </row>
    <row r="43">
      <c r="A43" s="3" t="inlineStr">
        <is>
          <t>BLOCK 2 — scenario forecast and cash roll-forward</t>
        </is>
      </c>
    </row>
    <row r="44">
      <c r="A44" s="13" t="inlineStr">
        <is>
          <t>month</t>
        </is>
      </c>
      <c r="B44" s="13" t="inlineStr">
        <is>
          <t>k</t>
        </is>
      </c>
      <c r="C44" s="13" t="inlineStr">
        <is>
          <t>base MRR</t>
        </is>
      </c>
      <c r="D44" s="13" t="inlineStr">
        <is>
          <t>ramp</t>
        </is>
      </c>
      <c r="E44" s="13" t="inlineStr">
        <is>
          <t>eff. added heads</t>
        </is>
      </c>
      <c r="F44" s="13" t="inlineStr">
        <is>
          <t>existing eff. team</t>
        </is>
      </c>
      <c r="G44" s="13" t="inlineStr">
        <is>
          <t>new-rep eff. team</t>
        </is>
      </c>
      <c r="H44" s="13" t="inlineStr">
        <is>
          <t>incr. meetings</t>
        </is>
      </c>
      <c r="I44" s="13" t="inlineStr">
        <is>
          <t>incr. wins</t>
        </is>
      </c>
      <c r="J44" s="13" t="inlineStr">
        <is>
          <t>booked SMB</t>
        </is>
      </c>
      <c r="K44" s="13" t="inlineStr">
        <is>
          <t>booked MidMkt</t>
        </is>
      </c>
      <c r="L44" s="13" t="inlineStr">
        <is>
          <t>booked Ent</t>
        </is>
      </c>
      <c r="M44" s="13" t="inlineStr">
        <is>
          <t>live SMB</t>
        </is>
      </c>
      <c r="N44" s="13" t="inlineStr">
        <is>
          <t>live MidMkt</t>
        </is>
      </c>
      <c r="O44" s="13" t="inlineStr">
        <is>
          <t>live Ent</t>
        </is>
      </c>
      <c r="P44" s="13" t="inlineStr">
        <is>
          <t>delta MRR</t>
        </is>
      </c>
      <c r="Q44" s="13" t="inlineStr">
        <is>
          <t>MRR</t>
        </is>
      </c>
      <c r="R44" s="13" t="inlineStr">
        <is>
          <t>COGS</t>
        </is>
      </c>
      <c r="S44" s="13" t="inlineStr">
        <is>
          <t>incr. S&amp;M</t>
        </is>
      </c>
      <c r="T44" s="13" t="inlineStr">
        <is>
          <t>paid social saving</t>
        </is>
      </c>
      <c r="U44" s="13" t="inlineStr">
        <is>
          <t>incr. commission</t>
        </is>
      </c>
      <c r="V44" s="13" t="inlineStr">
        <is>
          <t>S&amp;M</t>
        </is>
      </c>
      <c r="W44" s="13" t="inlineStr">
        <is>
          <t>R&amp;D</t>
        </is>
      </c>
      <c r="X44" s="13" t="inlineStr">
        <is>
          <t>G&amp;A</t>
        </is>
      </c>
      <c r="Y44" s="13" t="inlineStr">
        <is>
          <t>total cost</t>
        </is>
      </c>
      <c r="Z44" s="13" t="inlineStr">
        <is>
          <t>net burn</t>
        </is>
      </c>
      <c r="AA44" s="13" t="inlineStr">
        <is>
          <t>cash</t>
        </is>
      </c>
    </row>
    <row r="45">
      <c r="A45" s="2" t="inlineStr">
        <is>
          <t>seed</t>
        </is>
      </c>
      <c r="B45" s="2" t="n">
        <v>0</v>
      </c>
      <c r="M45" s="27" t="n">
        <v>0</v>
      </c>
      <c r="N45" s="27" t="n">
        <v>0</v>
      </c>
      <c r="O45" s="27" t="n">
        <v>0</v>
      </c>
      <c r="P45" s="27" t="n">
        <v>0</v>
      </c>
      <c r="AA45" s="23">
        <f>CONTROL!$B$7</f>
        <v/>
      </c>
    </row>
    <row r="46">
      <c r="A46" s="4" t="inlineStr">
        <is>
          <t>2026-09</t>
        </is>
      </c>
      <c r="B46" s="2" t="n">
        <v>1</v>
      </c>
      <c r="C46" s="27">
        <f>$C$41+$D$41*B46</f>
        <v/>
      </c>
      <c r="D46" s="28">
        <f>IF(B46-CONTROL!$B$30&lt;=0,0,IF(B46-CONTROL!$B$30=1,CONTROL!$B$31,IF(B46-CONTROL!$B$30=2,CONTROL!$B$32,CONTROL!$B$33)))</f>
        <v/>
      </c>
      <c r="E46" s="28">
        <f>CONTROL!$B$27*D46</f>
        <v/>
      </c>
      <c r="F46" s="28">
        <f>CONTROL!$B$20+E46*CONTROL!$B$28</f>
        <v/>
      </c>
      <c r="G46" s="28">
        <f>CONTROL!$B$20*CONTROL!$B$28+E46</f>
        <v/>
      </c>
      <c r="H46" s="28">
        <f>IF(E46&lt;=0,0,CONTROL!$B$20*IF(F46&lt;=CONTROL!$B$18,CONTROL!$B$17,CONTROL!$B$17*(CONTROL!$B$18/F46)^CONTROL!$B$19)+E46*IF(G46&lt;=CONTROL!$B$18,CONTROL!$B$17,CONTROL!$B$17*(CONTROL!$B$18/G46)^CONTROL!$B$19)-CONTROL!$B$20*IF(CONTROL!$B$20&lt;=CONTROL!$B$18,CONTROL!$B$17,CONTROL!$B$17*(CONTROL!$B$18/CONTROL!$B$20)^CONTROL!$B$19))</f>
        <v/>
      </c>
      <c r="I46" s="28">
        <f>H46*CONTROL!$B$21</f>
        <v/>
      </c>
      <c r="J46" s="26">
        <f>I46*CONTROL!$B$34*DATA_SEGMENTS!$D$2/12-CONTROL!$B$37*CONTROL!$B$24*DATA_SEGMENTS!$F$2</f>
        <v/>
      </c>
      <c r="K46" s="26">
        <f>I46*CONTROL!$B$35*DATA_SEGMENTS!$D$3/12-CONTROL!$B$37*CONTROL!$B$24*DATA_SEGMENTS!$F$3</f>
        <v/>
      </c>
      <c r="L46" s="26">
        <f>I46*CONTROL!$B$36*DATA_SEGMENTS!$D$4/12-CONTROL!$B$37*CONTROL!$B$24*DATA_SEGMENTS!$F$4</f>
        <v/>
      </c>
      <c r="M46" s="26">
        <f>IF(B46&lt;=DATA_SEGMENTS!$E$2,0,M45*DATA_SEGMENTS!$C$2+INDEX($J$46:$J$63,B46-DATA_SEGMENTS!$E$2))</f>
        <v/>
      </c>
      <c r="N46" s="26">
        <f>IF(B46&lt;=DATA_SEGMENTS!$E$3,0,N45*DATA_SEGMENTS!$C$3+INDEX($K$46:$K$63,B46-DATA_SEGMENTS!$E$3))</f>
        <v/>
      </c>
      <c r="O46" s="26">
        <f>IF(B46&lt;=DATA_SEGMENTS!$E$4,0,O45*DATA_SEGMENTS!$C$4+INDEX($L$46:$L$63,B46-DATA_SEGMENTS!$E$4))</f>
        <v/>
      </c>
      <c r="P46" s="27">
        <f>M46+N46+O46</f>
        <v/>
      </c>
      <c r="Q46" s="27">
        <f>C46+P46</f>
        <v/>
      </c>
      <c r="R46" s="26">
        <f>Q46*CONTROL!$B$12</f>
        <v/>
      </c>
      <c r="S46" s="26">
        <f>IF(B46&gt;CONTROL!$B$30,CONTROL!$B$29,0)</f>
        <v/>
      </c>
      <c r="T46" s="26">
        <f>-CONTROL!$B$37*CONTROL!$B$23</f>
        <v/>
      </c>
      <c r="U46" s="26">
        <f>(J46+K46+L46)*12*CONTROL!$B$22</f>
        <v/>
      </c>
      <c r="V46" s="26">
        <f>C46*CONTROL!$B$13+S46+T46+U46</f>
        <v/>
      </c>
      <c r="W46" s="26">
        <f>CONTROL!$B$14*(1+CONTROL!$B$16)^(B46/12)</f>
        <v/>
      </c>
      <c r="X46" s="26">
        <f>CONTROL!$B$15*(1+CONTROL!$B$16)^(B46/12)</f>
        <v/>
      </c>
      <c r="Y46" s="27">
        <f>R46+V46+W46+X46</f>
        <v/>
      </c>
      <c r="Z46" s="27">
        <f>Y46-Q46</f>
        <v/>
      </c>
      <c r="AA46" s="27">
        <f>AA45-Z46</f>
        <v/>
      </c>
    </row>
    <row r="47">
      <c r="A47" s="4" t="inlineStr">
        <is>
          <t>2026-10</t>
        </is>
      </c>
      <c r="B47" s="2" t="n">
        <v>2</v>
      </c>
      <c r="C47" s="27">
        <f>$C$41+$D$41*B47</f>
        <v/>
      </c>
      <c r="D47" s="28">
        <f>IF(B47-CONTROL!$B$30&lt;=0,0,IF(B47-CONTROL!$B$30=1,CONTROL!$B$31,IF(B47-CONTROL!$B$30=2,CONTROL!$B$32,CONTROL!$B$33)))</f>
        <v/>
      </c>
      <c r="E47" s="28">
        <f>CONTROL!$B$27*D47</f>
        <v/>
      </c>
      <c r="F47" s="28">
        <f>CONTROL!$B$20+E47*CONTROL!$B$28</f>
        <v/>
      </c>
      <c r="G47" s="28">
        <f>CONTROL!$B$20*CONTROL!$B$28+E47</f>
        <v/>
      </c>
      <c r="H47" s="28">
        <f>IF(E47&lt;=0,0,CONTROL!$B$20*IF(F47&lt;=CONTROL!$B$18,CONTROL!$B$17,CONTROL!$B$17*(CONTROL!$B$18/F47)^CONTROL!$B$19)+E47*IF(G47&lt;=CONTROL!$B$18,CONTROL!$B$17,CONTROL!$B$17*(CONTROL!$B$18/G47)^CONTROL!$B$19)-CONTROL!$B$20*IF(CONTROL!$B$20&lt;=CONTROL!$B$18,CONTROL!$B$17,CONTROL!$B$17*(CONTROL!$B$18/CONTROL!$B$20)^CONTROL!$B$19))</f>
        <v/>
      </c>
      <c r="I47" s="28">
        <f>H47*CONTROL!$B$21</f>
        <v/>
      </c>
      <c r="J47" s="26">
        <f>I47*CONTROL!$B$34*DATA_SEGMENTS!$D$2/12-CONTROL!$B$37*CONTROL!$B$24*DATA_SEGMENTS!$F$2</f>
        <v/>
      </c>
      <c r="K47" s="26">
        <f>I47*CONTROL!$B$35*DATA_SEGMENTS!$D$3/12-CONTROL!$B$37*CONTROL!$B$24*DATA_SEGMENTS!$F$3</f>
        <v/>
      </c>
      <c r="L47" s="26">
        <f>I47*CONTROL!$B$36*DATA_SEGMENTS!$D$4/12-CONTROL!$B$37*CONTROL!$B$24*DATA_SEGMENTS!$F$4</f>
        <v/>
      </c>
      <c r="M47" s="26">
        <f>IF(B47&lt;=DATA_SEGMENTS!$E$2,0,M46*DATA_SEGMENTS!$C$2+INDEX($J$46:$J$63,B47-DATA_SEGMENTS!$E$2))</f>
        <v/>
      </c>
      <c r="N47" s="26">
        <f>IF(B47&lt;=DATA_SEGMENTS!$E$3,0,N46*DATA_SEGMENTS!$C$3+INDEX($K$46:$K$63,B47-DATA_SEGMENTS!$E$3))</f>
        <v/>
      </c>
      <c r="O47" s="26">
        <f>IF(B47&lt;=DATA_SEGMENTS!$E$4,0,O46*DATA_SEGMENTS!$C$4+INDEX($L$46:$L$63,B47-DATA_SEGMENTS!$E$4))</f>
        <v/>
      </c>
      <c r="P47" s="27">
        <f>M47+N47+O47</f>
        <v/>
      </c>
      <c r="Q47" s="27">
        <f>C47+P47</f>
        <v/>
      </c>
      <c r="R47" s="26">
        <f>Q47*CONTROL!$B$12</f>
        <v/>
      </c>
      <c r="S47" s="26">
        <f>IF(B47&gt;CONTROL!$B$30,CONTROL!$B$29,0)</f>
        <v/>
      </c>
      <c r="T47" s="26">
        <f>-CONTROL!$B$37*CONTROL!$B$23</f>
        <v/>
      </c>
      <c r="U47" s="26">
        <f>(J47+K47+L47)*12*CONTROL!$B$22</f>
        <v/>
      </c>
      <c r="V47" s="26">
        <f>C47*CONTROL!$B$13+S47+T47+U47</f>
        <v/>
      </c>
      <c r="W47" s="26">
        <f>CONTROL!$B$14*(1+CONTROL!$B$16)^(B47/12)</f>
        <v/>
      </c>
      <c r="X47" s="26">
        <f>CONTROL!$B$15*(1+CONTROL!$B$16)^(B47/12)</f>
        <v/>
      </c>
      <c r="Y47" s="27">
        <f>R47+V47+W47+X47</f>
        <v/>
      </c>
      <c r="Z47" s="27">
        <f>Y47-Q47</f>
        <v/>
      </c>
      <c r="AA47" s="27">
        <f>AA46-Z47</f>
        <v/>
      </c>
    </row>
    <row r="48">
      <c r="A48" s="4" t="inlineStr">
        <is>
          <t>2026-11</t>
        </is>
      </c>
      <c r="B48" s="2" t="n">
        <v>3</v>
      </c>
      <c r="C48" s="27">
        <f>$C$41+$D$41*B48</f>
        <v/>
      </c>
      <c r="D48" s="28">
        <f>IF(B48-CONTROL!$B$30&lt;=0,0,IF(B48-CONTROL!$B$30=1,CONTROL!$B$31,IF(B48-CONTROL!$B$30=2,CONTROL!$B$32,CONTROL!$B$33)))</f>
        <v/>
      </c>
      <c r="E48" s="28">
        <f>CONTROL!$B$27*D48</f>
        <v/>
      </c>
      <c r="F48" s="28">
        <f>CONTROL!$B$20+E48*CONTROL!$B$28</f>
        <v/>
      </c>
      <c r="G48" s="28">
        <f>CONTROL!$B$20*CONTROL!$B$28+E48</f>
        <v/>
      </c>
      <c r="H48" s="28">
        <f>IF(E48&lt;=0,0,CONTROL!$B$20*IF(F48&lt;=CONTROL!$B$18,CONTROL!$B$17,CONTROL!$B$17*(CONTROL!$B$18/F48)^CONTROL!$B$19)+E48*IF(G48&lt;=CONTROL!$B$18,CONTROL!$B$17,CONTROL!$B$17*(CONTROL!$B$18/G48)^CONTROL!$B$19)-CONTROL!$B$20*IF(CONTROL!$B$20&lt;=CONTROL!$B$18,CONTROL!$B$17,CONTROL!$B$17*(CONTROL!$B$18/CONTROL!$B$20)^CONTROL!$B$19))</f>
        <v/>
      </c>
      <c r="I48" s="28">
        <f>H48*CONTROL!$B$21</f>
        <v/>
      </c>
      <c r="J48" s="26">
        <f>I48*CONTROL!$B$34*DATA_SEGMENTS!$D$2/12-CONTROL!$B$37*CONTROL!$B$24*DATA_SEGMENTS!$F$2</f>
        <v/>
      </c>
      <c r="K48" s="26">
        <f>I48*CONTROL!$B$35*DATA_SEGMENTS!$D$3/12-CONTROL!$B$37*CONTROL!$B$24*DATA_SEGMENTS!$F$3</f>
        <v/>
      </c>
      <c r="L48" s="26">
        <f>I48*CONTROL!$B$36*DATA_SEGMENTS!$D$4/12-CONTROL!$B$37*CONTROL!$B$24*DATA_SEGMENTS!$F$4</f>
        <v/>
      </c>
      <c r="M48" s="26">
        <f>IF(B48&lt;=DATA_SEGMENTS!$E$2,0,M47*DATA_SEGMENTS!$C$2+INDEX($J$46:$J$63,B48-DATA_SEGMENTS!$E$2))</f>
        <v/>
      </c>
      <c r="N48" s="26">
        <f>IF(B48&lt;=DATA_SEGMENTS!$E$3,0,N47*DATA_SEGMENTS!$C$3+INDEX($K$46:$K$63,B48-DATA_SEGMENTS!$E$3))</f>
        <v/>
      </c>
      <c r="O48" s="26">
        <f>IF(B48&lt;=DATA_SEGMENTS!$E$4,0,O47*DATA_SEGMENTS!$C$4+INDEX($L$46:$L$63,B48-DATA_SEGMENTS!$E$4))</f>
        <v/>
      </c>
      <c r="P48" s="27">
        <f>M48+N48+O48</f>
        <v/>
      </c>
      <c r="Q48" s="27">
        <f>C48+P48</f>
        <v/>
      </c>
      <c r="R48" s="26">
        <f>Q48*CONTROL!$B$12</f>
        <v/>
      </c>
      <c r="S48" s="26">
        <f>IF(B48&gt;CONTROL!$B$30,CONTROL!$B$29,0)</f>
        <v/>
      </c>
      <c r="T48" s="26">
        <f>-CONTROL!$B$37*CONTROL!$B$23</f>
        <v/>
      </c>
      <c r="U48" s="26">
        <f>(J48+K48+L48)*12*CONTROL!$B$22</f>
        <v/>
      </c>
      <c r="V48" s="26">
        <f>C48*CONTROL!$B$13+S48+T48+U48</f>
        <v/>
      </c>
      <c r="W48" s="26">
        <f>CONTROL!$B$14*(1+CONTROL!$B$16)^(B48/12)</f>
        <v/>
      </c>
      <c r="X48" s="26">
        <f>CONTROL!$B$15*(1+CONTROL!$B$16)^(B48/12)</f>
        <v/>
      </c>
      <c r="Y48" s="27">
        <f>R48+V48+W48+X48</f>
        <v/>
      </c>
      <c r="Z48" s="27">
        <f>Y48-Q48</f>
        <v/>
      </c>
      <c r="AA48" s="27">
        <f>AA47-Z48</f>
        <v/>
      </c>
    </row>
    <row r="49">
      <c r="A49" s="4" t="inlineStr">
        <is>
          <t>2026-12</t>
        </is>
      </c>
      <c r="B49" s="2" t="n">
        <v>4</v>
      </c>
      <c r="C49" s="27">
        <f>$C$41+$D$41*B49</f>
        <v/>
      </c>
      <c r="D49" s="28">
        <f>IF(B49-CONTROL!$B$30&lt;=0,0,IF(B49-CONTROL!$B$30=1,CONTROL!$B$31,IF(B49-CONTROL!$B$30=2,CONTROL!$B$32,CONTROL!$B$33)))</f>
        <v/>
      </c>
      <c r="E49" s="28">
        <f>CONTROL!$B$27*D49</f>
        <v/>
      </c>
      <c r="F49" s="28">
        <f>CONTROL!$B$20+E49*CONTROL!$B$28</f>
        <v/>
      </c>
      <c r="G49" s="28">
        <f>CONTROL!$B$20*CONTROL!$B$28+E49</f>
        <v/>
      </c>
      <c r="H49" s="28">
        <f>IF(E49&lt;=0,0,CONTROL!$B$20*IF(F49&lt;=CONTROL!$B$18,CONTROL!$B$17,CONTROL!$B$17*(CONTROL!$B$18/F49)^CONTROL!$B$19)+E49*IF(G49&lt;=CONTROL!$B$18,CONTROL!$B$17,CONTROL!$B$17*(CONTROL!$B$18/G49)^CONTROL!$B$19)-CONTROL!$B$20*IF(CONTROL!$B$20&lt;=CONTROL!$B$18,CONTROL!$B$17,CONTROL!$B$17*(CONTROL!$B$18/CONTROL!$B$20)^CONTROL!$B$19))</f>
        <v/>
      </c>
      <c r="I49" s="28">
        <f>H49*CONTROL!$B$21</f>
        <v/>
      </c>
      <c r="J49" s="26">
        <f>I49*CONTROL!$B$34*DATA_SEGMENTS!$D$2/12-CONTROL!$B$37*CONTROL!$B$24*DATA_SEGMENTS!$F$2</f>
        <v/>
      </c>
      <c r="K49" s="26">
        <f>I49*CONTROL!$B$35*DATA_SEGMENTS!$D$3/12-CONTROL!$B$37*CONTROL!$B$24*DATA_SEGMENTS!$F$3</f>
        <v/>
      </c>
      <c r="L49" s="26">
        <f>I49*CONTROL!$B$36*DATA_SEGMENTS!$D$4/12-CONTROL!$B$37*CONTROL!$B$24*DATA_SEGMENTS!$F$4</f>
        <v/>
      </c>
      <c r="M49" s="26">
        <f>IF(B49&lt;=DATA_SEGMENTS!$E$2,0,M48*DATA_SEGMENTS!$C$2+INDEX($J$46:$J$63,B49-DATA_SEGMENTS!$E$2))</f>
        <v/>
      </c>
      <c r="N49" s="26">
        <f>IF(B49&lt;=DATA_SEGMENTS!$E$3,0,N48*DATA_SEGMENTS!$C$3+INDEX($K$46:$K$63,B49-DATA_SEGMENTS!$E$3))</f>
        <v/>
      </c>
      <c r="O49" s="26">
        <f>IF(B49&lt;=DATA_SEGMENTS!$E$4,0,O48*DATA_SEGMENTS!$C$4+INDEX($L$46:$L$63,B49-DATA_SEGMENTS!$E$4))</f>
        <v/>
      </c>
      <c r="P49" s="27">
        <f>M49+N49+O49</f>
        <v/>
      </c>
      <c r="Q49" s="27">
        <f>C49+P49</f>
        <v/>
      </c>
      <c r="R49" s="26">
        <f>Q49*CONTROL!$B$12</f>
        <v/>
      </c>
      <c r="S49" s="26">
        <f>IF(B49&gt;CONTROL!$B$30,CONTROL!$B$29,0)</f>
        <v/>
      </c>
      <c r="T49" s="26">
        <f>-CONTROL!$B$37*CONTROL!$B$23</f>
        <v/>
      </c>
      <c r="U49" s="26">
        <f>(J49+K49+L49)*12*CONTROL!$B$22</f>
        <v/>
      </c>
      <c r="V49" s="26">
        <f>C49*CONTROL!$B$13+S49+T49+U49</f>
        <v/>
      </c>
      <c r="W49" s="26">
        <f>CONTROL!$B$14*(1+CONTROL!$B$16)^(B49/12)</f>
        <v/>
      </c>
      <c r="X49" s="26">
        <f>CONTROL!$B$15*(1+CONTROL!$B$16)^(B49/12)</f>
        <v/>
      </c>
      <c r="Y49" s="27">
        <f>R49+V49+W49+X49</f>
        <v/>
      </c>
      <c r="Z49" s="27">
        <f>Y49-Q49</f>
        <v/>
      </c>
      <c r="AA49" s="27">
        <f>AA48-Z49</f>
        <v/>
      </c>
    </row>
    <row r="50">
      <c r="A50" s="4" t="inlineStr">
        <is>
          <t>2027-01</t>
        </is>
      </c>
      <c r="B50" s="2" t="n">
        <v>5</v>
      </c>
      <c r="C50" s="27">
        <f>$C$41+$D$41*B50</f>
        <v/>
      </c>
      <c r="D50" s="28">
        <f>IF(B50-CONTROL!$B$30&lt;=0,0,IF(B50-CONTROL!$B$30=1,CONTROL!$B$31,IF(B50-CONTROL!$B$30=2,CONTROL!$B$32,CONTROL!$B$33)))</f>
        <v/>
      </c>
      <c r="E50" s="28">
        <f>CONTROL!$B$27*D50</f>
        <v/>
      </c>
      <c r="F50" s="28">
        <f>CONTROL!$B$20+E50*CONTROL!$B$28</f>
        <v/>
      </c>
      <c r="G50" s="28">
        <f>CONTROL!$B$20*CONTROL!$B$28+E50</f>
        <v/>
      </c>
      <c r="H50" s="28">
        <f>IF(E50&lt;=0,0,CONTROL!$B$20*IF(F50&lt;=CONTROL!$B$18,CONTROL!$B$17,CONTROL!$B$17*(CONTROL!$B$18/F50)^CONTROL!$B$19)+E50*IF(G50&lt;=CONTROL!$B$18,CONTROL!$B$17,CONTROL!$B$17*(CONTROL!$B$18/G50)^CONTROL!$B$19)-CONTROL!$B$20*IF(CONTROL!$B$20&lt;=CONTROL!$B$18,CONTROL!$B$17,CONTROL!$B$17*(CONTROL!$B$18/CONTROL!$B$20)^CONTROL!$B$19))</f>
        <v/>
      </c>
      <c r="I50" s="28">
        <f>H50*CONTROL!$B$21</f>
        <v/>
      </c>
      <c r="J50" s="26">
        <f>I50*CONTROL!$B$34*DATA_SEGMENTS!$D$2/12-CONTROL!$B$37*CONTROL!$B$24*DATA_SEGMENTS!$F$2</f>
        <v/>
      </c>
      <c r="K50" s="26">
        <f>I50*CONTROL!$B$35*DATA_SEGMENTS!$D$3/12-CONTROL!$B$37*CONTROL!$B$24*DATA_SEGMENTS!$F$3</f>
        <v/>
      </c>
      <c r="L50" s="26">
        <f>I50*CONTROL!$B$36*DATA_SEGMENTS!$D$4/12-CONTROL!$B$37*CONTROL!$B$24*DATA_SEGMENTS!$F$4</f>
        <v/>
      </c>
      <c r="M50" s="26">
        <f>IF(B50&lt;=DATA_SEGMENTS!$E$2,0,M49*DATA_SEGMENTS!$C$2+INDEX($J$46:$J$63,B50-DATA_SEGMENTS!$E$2))</f>
        <v/>
      </c>
      <c r="N50" s="26">
        <f>IF(B50&lt;=DATA_SEGMENTS!$E$3,0,N49*DATA_SEGMENTS!$C$3+INDEX($K$46:$K$63,B50-DATA_SEGMENTS!$E$3))</f>
        <v/>
      </c>
      <c r="O50" s="26">
        <f>IF(B50&lt;=DATA_SEGMENTS!$E$4,0,O49*DATA_SEGMENTS!$C$4+INDEX($L$46:$L$63,B50-DATA_SEGMENTS!$E$4))</f>
        <v/>
      </c>
      <c r="P50" s="27">
        <f>M50+N50+O50</f>
        <v/>
      </c>
      <c r="Q50" s="27">
        <f>C50+P50</f>
        <v/>
      </c>
      <c r="R50" s="26">
        <f>Q50*CONTROL!$B$12</f>
        <v/>
      </c>
      <c r="S50" s="26">
        <f>IF(B50&gt;CONTROL!$B$30,CONTROL!$B$29,0)</f>
        <v/>
      </c>
      <c r="T50" s="26">
        <f>-CONTROL!$B$37*CONTROL!$B$23</f>
        <v/>
      </c>
      <c r="U50" s="26">
        <f>(J50+K50+L50)*12*CONTROL!$B$22</f>
        <v/>
      </c>
      <c r="V50" s="26">
        <f>C50*CONTROL!$B$13+S50+T50+U50</f>
        <v/>
      </c>
      <c r="W50" s="26">
        <f>CONTROL!$B$14*(1+CONTROL!$B$16)^(B50/12)</f>
        <v/>
      </c>
      <c r="X50" s="26">
        <f>CONTROL!$B$15*(1+CONTROL!$B$16)^(B50/12)</f>
        <v/>
      </c>
      <c r="Y50" s="27">
        <f>R50+V50+W50+X50</f>
        <v/>
      </c>
      <c r="Z50" s="27">
        <f>Y50-Q50</f>
        <v/>
      </c>
      <c r="AA50" s="27">
        <f>AA49-Z50</f>
        <v/>
      </c>
    </row>
    <row r="51">
      <c r="A51" s="4" t="inlineStr">
        <is>
          <t>2027-02</t>
        </is>
      </c>
      <c r="B51" s="2" t="n">
        <v>6</v>
      </c>
      <c r="C51" s="27">
        <f>$C$41+$D$41*B51</f>
        <v/>
      </c>
      <c r="D51" s="28">
        <f>IF(B51-CONTROL!$B$30&lt;=0,0,IF(B51-CONTROL!$B$30=1,CONTROL!$B$31,IF(B51-CONTROL!$B$30=2,CONTROL!$B$32,CONTROL!$B$33)))</f>
        <v/>
      </c>
      <c r="E51" s="28">
        <f>CONTROL!$B$27*D51</f>
        <v/>
      </c>
      <c r="F51" s="28">
        <f>CONTROL!$B$20+E51*CONTROL!$B$28</f>
        <v/>
      </c>
      <c r="G51" s="28">
        <f>CONTROL!$B$20*CONTROL!$B$28+E51</f>
        <v/>
      </c>
      <c r="H51" s="28">
        <f>IF(E51&lt;=0,0,CONTROL!$B$20*IF(F51&lt;=CONTROL!$B$18,CONTROL!$B$17,CONTROL!$B$17*(CONTROL!$B$18/F51)^CONTROL!$B$19)+E51*IF(G51&lt;=CONTROL!$B$18,CONTROL!$B$17,CONTROL!$B$17*(CONTROL!$B$18/G51)^CONTROL!$B$19)-CONTROL!$B$20*IF(CONTROL!$B$20&lt;=CONTROL!$B$18,CONTROL!$B$17,CONTROL!$B$17*(CONTROL!$B$18/CONTROL!$B$20)^CONTROL!$B$19))</f>
        <v/>
      </c>
      <c r="I51" s="28">
        <f>H51*CONTROL!$B$21</f>
        <v/>
      </c>
      <c r="J51" s="26">
        <f>I51*CONTROL!$B$34*DATA_SEGMENTS!$D$2/12-CONTROL!$B$37*CONTROL!$B$24*DATA_SEGMENTS!$F$2</f>
        <v/>
      </c>
      <c r="K51" s="26">
        <f>I51*CONTROL!$B$35*DATA_SEGMENTS!$D$3/12-CONTROL!$B$37*CONTROL!$B$24*DATA_SEGMENTS!$F$3</f>
        <v/>
      </c>
      <c r="L51" s="26">
        <f>I51*CONTROL!$B$36*DATA_SEGMENTS!$D$4/12-CONTROL!$B$37*CONTROL!$B$24*DATA_SEGMENTS!$F$4</f>
        <v/>
      </c>
      <c r="M51" s="26">
        <f>IF(B51&lt;=DATA_SEGMENTS!$E$2,0,M50*DATA_SEGMENTS!$C$2+INDEX($J$46:$J$63,B51-DATA_SEGMENTS!$E$2))</f>
        <v/>
      </c>
      <c r="N51" s="26">
        <f>IF(B51&lt;=DATA_SEGMENTS!$E$3,0,N50*DATA_SEGMENTS!$C$3+INDEX($K$46:$K$63,B51-DATA_SEGMENTS!$E$3))</f>
        <v/>
      </c>
      <c r="O51" s="26">
        <f>IF(B51&lt;=DATA_SEGMENTS!$E$4,0,O50*DATA_SEGMENTS!$C$4+INDEX($L$46:$L$63,B51-DATA_SEGMENTS!$E$4))</f>
        <v/>
      </c>
      <c r="P51" s="27">
        <f>M51+N51+O51</f>
        <v/>
      </c>
      <c r="Q51" s="27">
        <f>C51+P51</f>
        <v/>
      </c>
      <c r="R51" s="26">
        <f>Q51*CONTROL!$B$12</f>
        <v/>
      </c>
      <c r="S51" s="26">
        <f>IF(B51&gt;CONTROL!$B$30,CONTROL!$B$29,0)</f>
        <v/>
      </c>
      <c r="T51" s="26">
        <f>-CONTROL!$B$37*CONTROL!$B$23</f>
        <v/>
      </c>
      <c r="U51" s="26">
        <f>(J51+K51+L51)*12*CONTROL!$B$22</f>
        <v/>
      </c>
      <c r="V51" s="26">
        <f>C51*CONTROL!$B$13+S51+T51+U51</f>
        <v/>
      </c>
      <c r="W51" s="26">
        <f>CONTROL!$B$14*(1+CONTROL!$B$16)^(B51/12)</f>
        <v/>
      </c>
      <c r="X51" s="26">
        <f>CONTROL!$B$15*(1+CONTROL!$B$16)^(B51/12)</f>
        <v/>
      </c>
      <c r="Y51" s="27">
        <f>R51+V51+W51+X51</f>
        <v/>
      </c>
      <c r="Z51" s="27">
        <f>Y51-Q51</f>
        <v/>
      </c>
      <c r="AA51" s="27">
        <f>AA50-Z51</f>
        <v/>
      </c>
    </row>
    <row r="52">
      <c r="A52" s="4" t="inlineStr">
        <is>
          <t>2027-03</t>
        </is>
      </c>
      <c r="B52" s="2" t="n">
        <v>7</v>
      </c>
      <c r="C52" s="27">
        <f>$C$41+$D$41*B52</f>
        <v/>
      </c>
      <c r="D52" s="28">
        <f>IF(B52-CONTROL!$B$30&lt;=0,0,IF(B52-CONTROL!$B$30=1,CONTROL!$B$31,IF(B52-CONTROL!$B$30=2,CONTROL!$B$32,CONTROL!$B$33)))</f>
        <v/>
      </c>
      <c r="E52" s="28">
        <f>CONTROL!$B$27*D52</f>
        <v/>
      </c>
      <c r="F52" s="28">
        <f>CONTROL!$B$20+E52*CONTROL!$B$28</f>
        <v/>
      </c>
      <c r="G52" s="28">
        <f>CONTROL!$B$20*CONTROL!$B$28+E52</f>
        <v/>
      </c>
      <c r="H52" s="28">
        <f>IF(E52&lt;=0,0,CONTROL!$B$20*IF(F52&lt;=CONTROL!$B$18,CONTROL!$B$17,CONTROL!$B$17*(CONTROL!$B$18/F52)^CONTROL!$B$19)+E52*IF(G52&lt;=CONTROL!$B$18,CONTROL!$B$17,CONTROL!$B$17*(CONTROL!$B$18/G52)^CONTROL!$B$19)-CONTROL!$B$20*IF(CONTROL!$B$20&lt;=CONTROL!$B$18,CONTROL!$B$17,CONTROL!$B$17*(CONTROL!$B$18/CONTROL!$B$20)^CONTROL!$B$19))</f>
        <v/>
      </c>
      <c r="I52" s="28">
        <f>H52*CONTROL!$B$21</f>
        <v/>
      </c>
      <c r="J52" s="26">
        <f>I52*CONTROL!$B$34*DATA_SEGMENTS!$D$2/12-CONTROL!$B$37*CONTROL!$B$24*DATA_SEGMENTS!$F$2</f>
        <v/>
      </c>
      <c r="K52" s="26">
        <f>I52*CONTROL!$B$35*DATA_SEGMENTS!$D$3/12-CONTROL!$B$37*CONTROL!$B$24*DATA_SEGMENTS!$F$3</f>
        <v/>
      </c>
      <c r="L52" s="26">
        <f>I52*CONTROL!$B$36*DATA_SEGMENTS!$D$4/12-CONTROL!$B$37*CONTROL!$B$24*DATA_SEGMENTS!$F$4</f>
        <v/>
      </c>
      <c r="M52" s="26">
        <f>IF(B52&lt;=DATA_SEGMENTS!$E$2,0,M51*DATA_SEGMENTS!$C$2+INDEX($J$46:$J$63,B52-DATA_SEGMENTS!$E$2))</f>
        <v/>
      </c>
      <c r="N52" s="26">
        <f>IF(B52&lt;=DATA_SEGMENTS!$E$3,0,N51*DATA_SEGMENTS!$C$3+INDEX($K$46:$K$63,B52-DATA_SEGMENTS!$E$3))</f>
        <v/>
      </c>
      <c r="O52" s="26">
        <f>IF(B52&lt;=DATA_SEGMENTS!$E$4,0,O51*DATA_SEGMENTS!$C$4+INDEX($L$46:$L$63,B52-DATA_SEGMENTS!$E$4))</f>
        <v/>
      </c>
      <c r="P52" s="27">
        <f>M52+N52+O52</f>
        <v/>
      </c>
      <c r="Q52" s="27">
        <f>C52+P52</f>
        <v/>
      </c>
      <c r="R52" s="26">
        <f>Q52*CONTROL!$B$12</f>
        <v/>
      </c>
      <c r="S52" s="26">
        <f>IF(B52&gt;CONTROL!$B$30,CONTROL!$B$29,0)</f>
        <v/>
      </c>
      <c r="T52" s="26">
        <f>-CONTROL!$B$37*CONTROL!$B$23</f>
        <v/>
      </c>
      <c r="U52" s="26">
        <f>(J52+K52+L52)*12*CONTROL!$B$22</f>
        <v/>
      </c>
      <c r="V52" s="26">
        <f>C52*CONTROL!$B$13+S52+T52+U52</f>
        <v/>
      </c>
      <c r="W52" s="26">
        <f>CONTROL!$B$14*(1+CONTROL!$B$16)^(B52/12)</f>
        <v/>
      </c>
      <c r="X52" s="26">
        <f>CONTROL!$B$15*(1+CONTROL!$B$16)^(B52/12)</f>
        <v/>
      </c>
      <c r="Y52" s="27">
        <f>R52+V52+W52+X52</f>
        <v/>
      </c>
      <c r="Z52" s="27">
        <f>Y52-Q52</f>
        <v/>
      </c>
      <c r="AA52" s="27">
        <f>AA51-Z52</f>
        <v/>
      </c>
    </row>
    <row r="53">
      <c r="A53" s="4" t="inlineStr">
        <is>
          <t>2027-04</t>
        </is>
      </c>
      <c r="B53" s="2" t="n">
        <v>8</v>
      </c>
      <c r="C53" s="27">
        <f>$C$41+$D$41*B53</f>
        <v/>
      </c>
      <c r="D53" s="28">
        <f>IF(B53-CONTROL!$B$30&lt;=0,0,IF(B53-CONTROL!$B$30=1,CONTROL!$B$31,IF(B53-CONTROL!$B$30=2,CONTROL!$B$32,CONTROL!$B$33)))</f>
        <v/>
      </c>
      <c r="E53" s="28">
        <f>CONTROL!$B$27*D53</f>
        <v/>
      </c>
      <c r="F53" s="28">
        <f>CONTROL!$B$20+E53*CONTROL!$B$28</f>
        <v/>
      </c>
      <c r="G53" s="28">
        <f>CONTROL!$B$20*CONTROL!$B$28+E53</f>
        <v/>
      </c>
      <c r="H53" s="28">
        <f>IF(E53&lt;=0,0,CONTROL!$B$20*IF(F53&lt;=CONTROL!$B$18,CONTROL!$B$17,CONTROL!$B$17*(CONTROL!$B$18/F53)^CONTROL!$B$19)+E53*IF(G53&lt;=CONTROL!$B$18,CONTROL!$B$17,CONTROL!$B$17*(CONTROL!$B$18/G53)^CONTROL!$B$19)-CONTROL!$B$20*IF(CONTROL!$B$20&lt;=CONTROL!$B$18,CONTROL!$B$17,CONTROL!$B$17*(CONTROL!$B$18/CONTROL!$B$20)^CONTROL!$B$19))</f>
        <v/>
      </c>
      <c r="I53" s="28">
        <f>H53*CONTROL!$B$21</f>
        <v/>
      </c>
      <c r="J53" s="26">
        <f>I53*CONTROL!$B$34*DATA_SEGMENTS!$D$2/12-CONTROL!$B$37*CONTROL!$B$24*DATA_SEGMENTS!$F$2</f>
        <v/>
      </c>
      <c r="K53" s="26">
        <f>I53*CONTROL!$B$35*DATA_SEGMENTS!$D$3/12-CONTROL!$B$37*CONTROL!$B$24*DATA_SEGMENTS!$F$3</f>
        <v/>
      </c>
      <c r="L53" s="26">
        <f>I53*CONTROL!$B$36*DATA_SEGMENTS!$D$4/12-CONTROL!$B$37*CONTROL!$B$24*DATA_SEGMENTS!$F$4</f>
        <v/>
      </c>
      <c r="M53" s="26">
        <f>IF(B53&lt;=DATA_SEGMENTS!$E$2,0,M52*DATA_SEGMENTS!$C$2+INDEX($J$46:$J$63,B53-DATA_SEGMENTS!$E$2))</f>
        <v/>
      </c>
      <c r="N53" s="26">
        <f>IF(B53&lt;=DATA_SEGMENTS!$E$3,0,N52*DATA_SEGMENTS!$C$3+INDEX($K$46:$K$63,B53-DATA_SEGMENTS!$E$3))</f>
        <v/>
      </c>
      <c r="O53" s="26">
        <f>IF(B53&lt;=DATA_SEGMENTS!$E$4,0,O52*DATA_SEGMENTS!$C$4+INDEX($L$46:$L$63,B53-DATA_SEGMENTS!$E$4))</f>
        <v/>
      </c>
      <c r="P53" s="27">
        <f>M53+N53+O53</f>
        <v/>
      </c>
      <c r="Q53" s="27">
        <f>C53+P53</f>
        <v/>
      </c>
      <c r="R53" s="26">
        <f>Q53*CONTROL!$B$12</f>
        <v/>
      </c>
      <c r="S53" s="26">
        <f>IF(B53&gt;CONTROL!$B$30,CONTROL!$B$29,0)</f>
        <v/>
      </c>
      <c r="T53" s="26">
        <f>-CONTROL!$B$37*CONTROL!$B$23</f>
        <v/>
      </c>
      <c r="U53" s="26">
        <f>(J53+K53+L53)*12*CONTROL!$B$22</f>
        <v/>
      </c>
      <c r="V53" s="26">
        <f>C53*CONTROL!$B$13+S53+T53+U53</f>
        <v/>
      </c>
      <c r="W53" s="26">
        <f>CONTROL!$B$14*(1+CONTROL!$B$16)^(B53/12)</f>
        <v/>
      </c>
      <c r="X53" s="26">
        <f>CONTROL!$B$15*(1+CONTROL!$B$16)^(B53/12)</f>
        <v/>
      </c>
      <c r="Y53" s="27">
        <f>R53+V53+W53+X53</f>
        <v/>
      </c>
      <c r="Z53" s="27">
        <f>Y53-Q53</f>
        <v/>
      </c>
      <c r="AA53" s="27">
        <f>AA52-Z53</f>
        <v/>
      </c>
    </row>
    <row r="54">
      <c r="A54" s="4" t="inlineStr">
        <is>
          <t>2027-05</t>
        </is>
      </c>
      <c r="B54" s="2" t="n">
        <v>9</v>
      </c>
      <c r="C54" s="27">
        <f>$C$41+$D$41*B54</f>
        <v/>
      </c>
      <c r="D54" s="28">
        <f>IF(B54-CONTROL!$B$30&lt;=0,0,IF(B54-CONTROL!$B$30=1,CONTROL!$B$31,IF(B54-CONTROL!$B$30=2,CONTROL!$B$32,CONTROL!$B$33)))</f>
        <v/>
      </c>
      <c r="E54" s="28">
        <f>CONTROL!$B$27*D54</f>
        <v/>
      </c>
      <c r="F54" s="28">
        <f>CONTROL!$B$20+E54*CONTROL!$B$28</f>
        <v/>
      </c>
      <c r="G54" s="28">
        <f>CONTROL!$B$20*CONTROL!$B$28+E54</f>
        <v/>
      </c>
      <c r="H54" s="28">
        <f>IF(E54&lt;=0,0,CONTROL!$B$20*IF(F54&lt;=CONTROL!$B$18,CONTROL!$B$17,CONTROL!$B$17*(CONTROL!$B$18/F54)^CONTROL!$B$19)+E54*IF(G54&lt;=CONTROL!$B$18,CONTROL!$B$17,CONTROL!$B$17*(CONTROL!$B$18/G54)^CONTROL!$B$19)-CONTROL!$B$20*IF(CONTROL!$B$20&lt;=CONTROL!$B$18,CONTROL!$B$17,CONTROL!$B$17*(CONTROL!$B$18/CONTROL!$B$20)^CONTROL!$B$19))</f>
        <v/>
      </c>
      <c r="I54" s="28">
        <f>H54*CONTROL!$B$21</f>
        <v/>
      </c>
      <c r="J54" s="26">
        <f>I54*CONTROL!$B$34*DATA_SEGMENTS!$D$2/12-CONTROL!$B$37*CONTROL!$B$24*DATA_SEGMENTS!$F$2</f>
        <v/>
      </c>
      <c r="K54" s="26">
        <f>I54*CONTROL!$B$35*DATA_SEGMENTS!$D$3/12-CONTROL!$B$37*CONTROL!$B$24*DATA_SEGMENTS!$F$3</f>
        <v/>
      </c>
      <c r="L54" s="26">
        <f>I54*CONTROL!$B$36*DATA_SEGMENTS!$D$4/12-CONTROL!$B$37*CONTROL!$B$24*DATA_SEGMENTS!$F$4</f>
        <v/>
      </c>
      <c r="M54" s="26">
        <f>IF(B54&lt;=DATA_SEGMENTS!$E$2,0,M53*DATA_SEGMENTS!$C$2+INDEX($J$46:$J$63,B54-DATA_SEGMENTS!$E$2))</f>
        <v/>
      </c>
      <c r="N54" s="26">
        <f>IF(B54&lt;=DATA_SEGMENTS!$E$3,0,N53*DATA_SEGMENTS!$C$3+INDEX($K$46:$K$63,B54-DATA_SEGMENTS!$E$3))</f>
        <v/>
      </c>
      <c r="O54" s="26">
        <f>IF(B54&lt;=DATA_SEGMENTS!$E$4,0,O53*DATA_SEGMENTS!$C$4+INDEX($L$46:$L$63,B54-DATA_SEGMENTS!$E$4))</f>
        <v/>
      </c>
      <c r="P54" s="27">
        <f>M54+N54+O54</f>
        <v/>
      </c>
      <c r="Q54" s="27">
        <f>C54+P54</f>
        <v/>
      </c>
      <c r="R54" s="26">
        <f>Q54*CONTROL!$B$12</f>
        <v/>
      </c>
      <c r="S54" s="26">
        <f>IF(B54&gt;CONTROL!$B$30,CONTROL!$B$29,0)</f>
        <v/>
      </c>
      <c r="T54" s="26">
        <f>-CONTROL!$B$37*CONTROL!$B$23</f>
        <v/>
      </c>
      <c r="U54" s="26">
        <f>(J54+K54+L54)*12*CONTROL!$B$22</f>
        <v/>
      </c>
      <c r="V54" s="26">
        <f>C54*CONTROL!$B$13+S54+T54+U54</f>
        <v/>
      </c>
      <c r="W54" s="26">
        <f>CONTROL!$B$14*(1+CONTROL!$B$16)^(B54/12)</f>
        <v/>
      </c>
      <c r="X54" s="26">
        <f>CONTROL!$B$15*(1+CONTROL!$B$16)^(B54/12)</f>
        <v/>
      </c>
      <c r="Y54" s="27">
        <f>R54+V54+W54+X54</f>
        <v/>
      </c>
      <c r="Z54" s="27">
        <f>Y54-Q54</f>
        <v/>
      </c>
      <c r="AA54" s="27">
        <f>AA53-Z54</f>
        <v/>
      </c>
    </row>
    <row r="55">
      <c r="A55" s="4" t="inlineStr">
        <is>
          <t>2027-06</t>
        </is>
      </c>
      <c r="B55" s="2" t="n">
        <v>10</v>
      </c>
      <c r="C55" s="27">
        <f>$C$41+$D$41*B55</f>
        <v/>
      </c>
      <c r="D55" s="28">
        <f>IF(B55-CONTROL!$B$30&lt;=0,0,IF(B55-CONTROL!$B$30=1,CONTROL!$B$31,IF(B55-CONTROL!$B$30=2,CONTROL!$B$32,CONTROL!$B$33)))</f>
        <v/>
      </c>
      <c r="E55" s="28">
        <f>CONTROL!$B$27*D55</f>
        <v/>
      </c>
      <c r="F55" s="28">
        <f>CONTROL!$B$20+E55*CONTROL!$B$28</f>
        <v/>
      </c>
      <c r="G55" s="28">
        <f>CONTROL!$B$20*CONTROL!$B$28+E55</f>
        <v/>
      </c>
      <c r="H55" s="28">
        <f>IF(E55&lt;=0,0,CONTROL!$B$20*IF(F55&lt;=CONTROL!$B$18,CONTROL!$B$17,CONTROL!$B$17*(CONTROL!$B$18/F55)^CONTROL!$B$19)+E55*IF(G55&lt;=CONTROL!$B$18,CONTROL!$B$17,CONTROL!$B$17*(CONTROL!$B$18/G55)^CONTROL!$B$19)-CONTROL!$B$20*IF(CONTROL!$B$20&lt;=CONTROL!$B$18,CONTROL!$B$17,CONTROL!$B$17*(CONTROL!$B$18/CONTROL!$B$20)^CONTROL!$B$19))</f>
        <v/>
      </c>
      <c r="I55" s="28">
        <f>H55*CONTROL!$B$21</f>
        <v/>
      </c>
      <c r="J55" s="26">
        <f>I55*CONTROL!$B$34*DATA_SEGMENTS!$D$2/12-CONTROL!$B$37*CONTROL!$B$24*DATA_SEGMENTS!$F$2</f>
        <v/>
      </c>
      <c r="K55" s="26">
        <f>I55*CONTROL!$B$35*DATA_SEGMENTS!$D$3/12-CONTROL!$B$37*CONTROL!$B$24*DATA_SEGMENTS!$F$3</f>
        <v/>
      </c>
      <c r="L55" s="26">
        <f>I55*CONTROL!$B$36*DATA_SEGMENTS!$D$4/12-CONTROL!$B$37*CONTROL!$B$24*DATA_SEGMENTS!$F$4</f>
        <v/>
      </c>
      <c r="M55" s="26">
        <f>IF(B55&lt;=DATA_SEGMENTS!$E$2,0,M54*DATA_SEGMENTS!$C$2+INDEX($J$46:$J$63,B55-DATA_SEGMENTS!$E$2))</f>
        <v/>
      </c>
      <c r="N55" s="26">
        <f>IF(B55&lt;=DATA_SEGMENTS!$E$3,0,N54*DATA_SEGMENTS!$C$3+INDEX($K$46:$K$63,B55-DATA_SEGMENTS!$E$3))</f>
        <v/>
      </c>
      <c r="O55" s="26">
        <f>IF(B55&lt;=DATA_SEGMENTS!$E$4,0,O54*DATA_SEGMENTS!$C$4+INDEX($L$46:$L$63,B55-DATA_SEGMENTS!$E$4))</f>
        <v/>
      </c>
      <c r="P55" s="27">
        <f>M55+N55+O55</f>
        <v/>
      </c>
      <c r="Q55" s="27">
        <f>C55+P55</f>
        <v/>
      </c>
      <c r="R55" s="26">
        <f>Q55*CONTROL!$B$12</f>
        <v/>
      </c>
      <c r="S55" s="26">
        <f>IF(B55&gt;CONTROL!$B$30,CONTROL!$B$29,0)</f>
        <v/>
      </c>
      <c r="T55" s="26">
        <f>-CONTROL!$B$37*CONTROL!$B$23</f>
        <v/>
      </c>
      <c r="U55" s="26">
        <f>(J55+K55+L55)*12*CONTROL!$B$22</f>
        <v/>
      </c>
      <c r="V55" s="26">
        <f>C55*CONTROL!$B$13+S55+T55+U55</f>
        <v/>
      </c>
      <c r="W55" s="26">
        <f>CONTROL!$B$14*(1+CONTROL!$B$16)^(B55/12)</f>
        <v/>
      </c>
      <c r="X55" s="26">
        <f>CONTROL!$B$15*(1+CONTROL!$B$16)^(B55/12)</f>
        <v/>
      </c>
      <c r="Y55" s="27">
        <f>R55+V55+W55+X55</f>
        <v/>
      </c>
      <c r="Z55" s="27">
        <f>Y55-Q55</f>
        <v/>
      </c>
      <c r="AA55" s="27">
        <f>AA54-Z55</f>
        <v/>
      </c>
    </row>
    <row r="56">
      <c r="A56" s="4" t="inlineStr">
        <is>
          <t>2027-07</t>
        </is>
      </c>
      <c r="B56" s="2" t="n">
        <v>11</v>
      </c>
      <c r="C56" s="27">
        <f>$C$41+$D$41*B56</f>
        <v/>
      </c>
      <c r="D56" s="28">
        <f>IF(B56-CONTROL!$B$30&lt;=0,0,IF(B56-CONTROL!$B$30=1,CONTROL!$B$31,IF(B56-CONTROL!$B$30=2,CONTROL!$B$32,CONTROL!$B$33)))</f>
        <v/>
      </c>
      <c r="E56" s="28">
        <f>CONTROL!$B$27*D56</f>
        <v/>
      </c>
      <c r="F56" s="28">
        <f>CONTROL!$B$20+E56*CONTROL!$B$28</f>
        <v/>
      </c>
      <c r="G56" s="28">
        <f>CONTROL!$B$20*CONTROL!$B$28+E56</f>
        <v/>
      </c>
      <c r="H56" s="28">
        <f>IF(E56&lt;=0,0,CONTROL!$B$20*IF(F56&lt;=CONTROL!$B$18,CONTROL!$B$17,CONTROL!$B$17*(CONTROL!$B$18/F56)^CONTROL!$B$19)+E56*IF(G56&lt;=CONTROL!$B$18,CONTROL!$B$17,CONTROL!$B$17*(CONTROL!$B$18/G56)^CONTROL!$B$19)-CONTROL!$B$20*IF(CONTROL!$B$20&lt;=CONTROL!$B$18,CONTROL!$B$17,CONTROL!$B$17*(CONTROL!$B$18/CONTROL!$B$20)^CONTROL!$B$19))</f>
        <v/>
      </c>
      <c r="I56" s="28">
        <f>H56*CONTROL!$B$21</f>
        <v/>
      </c>
      <c r="J56" s="26">
        <f>I56*CONTROL!$B$34*DATA_SEGMENTS!$D$2/12-CONTROL!$B$37*CONTROL!$B$24*DATA_SEGMENTS!$F$2</f>
        <v/>
      </c>
      <c r="K56" s="26">
        <f>I56*CONTROL!$B$35*DATA_SEGMENTS!$D$3/12-CONTROL!$B$37*CONTROL!$B$24*DATA_SEGMENTS!$F$3</f>
        <v/>
      </c>
      <c r="L56" s="26">
        <f>I56*CONTROL!$B$36*DATA_SEGMENTS!$D$4/12-CONTROL!$B$37*CONTROL!$B$24*DATA_SEGMENTS!$F$4</f>
        <v/>
      </c>
      <c r="M56" s="26">
        <f>IF(B56&lt;=DATA_SEGMENTS!$E$2,0,M55*DATA_SEGMENTS!$C$2+INDEX($J$46:$J$63,B56-DATA_SEGMENTS!$E$2))</f>
        <v/>
      </c>
      <c r="N56" s="26">
        <f>IF(B56&lt;=DATA_SEGMENTS!$E$3,0,N55*DATA_SEGMENTS!$C$3+INDEX($K$46:$K$63,B56-DATA_SEGMENTS!$E$3))</f>
        <v/>
      </c>
      <c r="O56" s="26">
        <f>IF(B56&lt;=DATA_SEGMENTS!$E$4,0,O55*DATA_SEGMENTS!$C$4+INDEX($L$46:$L$63,B56-DATA_SEGMENTS!$E$4))</f>
        <v/>
      </c>
      <c r="P56" s="27">
        <f>M56+N56+O56</f>
        <v/>
      </c>
      <c r="Q56" s="27">
        <f>C56+P56</f>
        <v/>
      </c>
      <c r="R56" s="26">
        <f>Q56*CONTROL!$B$12</f>
        <v/>
      </c>
      <c r="S56" s="26">
        <f>IF(B56&gt;CONTROL!$B$30,CONTROL!$B$29,0)</f>
        <v/>
      </c>
      <c r="T56" s="26">
        <f>-CONTROL!$B$37*CONTROL!$B$23</f>
        <v/>
      </c>
      <c r="U56" s="26">
        <f>(J56+K56+L56)*12*CONTROL!$B$22</f>
        <v/>
      </c>
      <c r="V56" s="26">
        <f>C56*CONTROL!$B$13+S56+T56+U56</f>
        <v/>
      </c>
      <c r="W56" s="26">
        <f>CONTROL!$B$14*(1+CONTROL!$B$16)^(B56/12)</f>
        <v/>
      </c>
      <c r="X56" s="26">
        <f>CONTROL!$B$15*(1+CONTROL!$B$16)^(B56/12)</f>
        <v/>
      </c>
      <c r="Y56" s="27">
        <f>R56+V56+W56+X56</f>
        <v/>
      </c>
      <c r="Z56" s="27">
        <f>Y56-Q56</f>
        <v/>
      </c>
      <c r="AA56" s="27">
        <f>AA55-Z56</f>
        <v/>
      </c>
    </row>
    <row r="57">
      <c r="A57" s="4" t="inlineStr">
        <is>
          <t>2027-08</t>
        </is>
      </c>
      <c r="B57" s="2" t="n">
        <v>12</v>
      </c>
      <c r="C57" s="27">
        <f>$C$41+$D$41*B57</f>
        <v/>
      </c>
      <c r="D57" s="28">
        <f>IF(B57-CONTROL!$B$30&lt;=0,0,IF(B57-CONTROL!$B$30=1,CONTROL!$B$31,IF(B57-CONTROL!$B$30=2,CONTROL!$B$32,CONTROL!$B$33)))</f>
        <v/>
      </c>
      <c r="E57" s="28">
        <f>CONTROL!$B$27*D57</f>
        <v/>
      </c>
      <c r="F57" s="28">
        <f>CONTROL!$B$20+E57*CONTROL!$B$28</f>
        <v/>
      </c>
      <c r="G57" s="28">
        <f>CONTROL!$B$20*CONTROL!$B$28+E57</f>
        <v/>
      </c>
      <c r="H57" s="28">
        <f>IF(E57&lt;=0,0,CONTROL!$B$20*IF(F57&lt;=CONTROL!$B$18,CONTROL!$B$17,CONTROL!$B$17*(CONTROL!$B$18/F57)^CONTROL!$B$19)+E57*IF(G57&lt;=CONTROL!$B$18,CONTROL!$B$17,CONTROL!$B$17*(CONTROL!$B$18/G57)^CONTROL!$B$19)-CONTROL!$B$20*IF(CONTROL!$B$20&lt;=CONTROL!$B$18,CONTROL!$B$17,CONTROL!$B$17*(CONTROL!$B$18/CONTROL!$B$20)^CONTROL!$B$19))</f>
        <v/>
      </c>
      <c r="I57" s="28">
        <f>H57*CONTROL!$B$21</f>
        <v/>
      </c>
      <c r="J57" s="26">
        <f>I57*CONTROL!$B$34*DATA_SEGMENTS!$D$2/12-CONTROL!$B$37*CONTROL!$B$24*DATA_SEGMENTS!$F$2</f>
        <v/>
      </c>
      <c r="K57" s="26">
        <f>I57*CONTROL!$B$35*DATA_SEGMENTS!$D$3/12-CONTROL!$B$37*CONTROL!$B$24*DATA_SEGMENTS!$F$3</f>
        <v/>
      </c>
      <c r="L57" s="26">
        <f>I57*CONTROL!$B$36*DATA_SEGMENTS!$D$4/12-CONTROL!$B$37*CONTROL!$B$24*DATA_SEGMENTS!$F$4</f>
        <v/>
      </c>
      <c r="M57" s="26">
        <f>IF(B57&lt;=DATA_SEGMENTS!$E$2,0,M56*DATA_SEGMENTS!$C$2+INDEX($J$46:$J$63,B57-DATA_SEGMENTS!$E$2))</f>
        <v/>
      </c>
      <c r="N57" s="26">
        <f>IF(B57&lt;=DATA_SEGMENTS!$E$3,0,N56*DATA_SEGMENTS!$C$3+INDEX($K$46:$K$63,B57-DATA_SEGMENTS!$E$3))</f>
        <v/>
      </c>
      <c r="O57" s="26">
        <f>IF(B57&lt;=DATA_SEGMENTS!$E$4,0,O56*DATA_SEGMENTS!$C$4+INDEX($L$46:$L$63,B57-DATA_SEGMENTS!$E$4))</f>
        <v/>
      </c>
      <c r="P57" s="27">
        <f>M57+N57+O57</f>
        <v/>
      </c>
      <c r="Q57" s="27">
        <f>C57+P57</f>
        <v/>
      </c>
      <c r="R57" s="26">
        <f>Q57*CONTROL!$B$12</f>
        <v/>
      </c>
      <c r="S57" s="26">
        <f>IF(B57&gt;CONTROL!$B$30,CONTROL!$B$29,0)</f>
        <v/>
      </c>
      <c r="T57" s="26">
        <f>-CONTROL!$B$37*CONTROL!$B$23</f>
        <v/>
      </c>
      <c r="U57" s="26">
        <f>(J57+K57+L57)*12*CONTROL!$B$22</f>
        <v/>
      </c>
      <c r="V57" s="26">
        <f>C57*CONTROL!$B$13+S57+T57+U57</f>
        <v/>
      </c>
      <c r="W57" s="26">
        <f>CONTROL!$B$14*(1+CONTROL!$B$16)^(B57/12)</f>
        <v/>
      </c>
      <c r="X57" s="26">
        <f>CONTROL!$B$15*(1+CONTROL!$B$16)^(B57/12)</f>
        <v/>
      </c>
      <c r="Y57" s="27">
        <f>R57+V57+W57+X57</f>
        <v/>
      </c>
      <c r="Z57" s="27">
        <f>Y57-Q57</f>
        <v/>
      </c>
      <c r="AA57" s="27">
        <f>AA56-Z57</f>
        <v/>
      </c>
    </row>
    <row r="58">
      <c r="A58" s="4" t="inlineStr">
        <is>
          <t>2027-09</t>
        </is>
      </c>
      <c r="B58" s="2" t="n">
        <v>13</v>
      </c>
      <c r="C58" s="27">
        <f>$C$41+$D$41*B58</f>
        <v/>
      </c>
      <c r="D58" s="28">
        <f>IF(B58-CONTROL!$B$30&lt;=0,0,IF(B58-CONTROL!$B$30=1,CONTROL!$B$31,IF(B58-CONTROL!$B$30=2,CONTROL!$B$32,CONTROL!$B$33)))</f>
        <v/>
      </c>
      <c r="E58" s="28">
        <f>CONTROL!$B$27*D58</f>
        <v/>
      </c>
      <c r="F58" s="28">
        <f>CONTROL!$B$20+E58*CONTROL!$B$28</f>
        <v/>
      </c>
      <c r="G58" s="28">
        <f>CONTROL!$B$20*CONTROL!$B$28+E58</f>
        <v/>
      </c>
      <c r="H58" s="28">
        <f>IF(E58&lt;=0,0,CONTROL!$B$20*IF(F58&lt;=CONTROL!$B$18,CONTROL!$B$17,CONTROL!$B$17*(CONTROL!$B$18/F58)^CONTROL!$B$19)+E58*IF(G58&lt;=CONTROL!$B$18,CONTROL!$B$17,CONTROL!$B$17*(CONTROL!$B$18/G58)^CONTROL!$B$19)-CONTROL!$B$20*IF(CONTROL!$B$20&lt;=CONTROL!$B$18,CONTROL!$B$17,CONTROL!$B$17*(CONTROL!$B$18/CONTROL!$B$20)^CONTROL!$B$19))</f>
        <v/>
      </c>
      <c r="I58" s="28">
        <f>H58*CONTROL!$B$21</f>
        <v/>
      </c>
      <c r="J58" s="26">
        <f>I58*CONTROL!$B$34*DATA_SEGMENTS!$D$2/12-CONTROL!$B$37*CONTROL!$B$24*DATA_SEGMENTS!$F$2</f>
        <v/>
      </c>
      <c r="K58" s="26">
        <f>I58*CONTROL!$B$35*DATA_SEGMENTS!$D$3/12-CONTROL!$B$37*CONTROL!$B$24*DATA_SEGMENTS!$F$3</f>
        <v/>
      </c>
      <c r="L58" s="26">
        <f>I58*CONTROL!$B$36*DATA_SEGMENTS!$D$4/12-CONTROL!$B$37*CONTROL!$B$24*DATA_SEGMENTS!$F$4</f>
        <v/>
      </c>
      <c r="M58" s="26">
        <f>IF(B58&lt;=DATA_SEGMENTS!$E$2,0,M57*DATA_SEGMENTS!$C$2+INDEX($J$46:$J$63,B58-DATA_SEGMENTS!$E$2))</f>
        <v/>
      </c>
      <c r="N58" s="26">
        <f>IF(B58&lt;=DATA_SEGMENTS!$E$3,0,N57*DATA_SEGMENTS!$C$3+INDEX($K$46:$K$63,B58-DATA_SEGMENTS!$E$3))</f>
        <v/>
      </c>
      <c r="O58" s="26">
        <f>IF(B58&lt;=DATA_SEGMENTS!$E$4,0,O57*DATA_SEGMENTS!$C$4+INDEX($L$46:$L$63,B58-DATA_SEGMENTS!$E$4))</f>
        <v/>
      </c>
      <c r="P58" s="27">
        <f>M58+N58+O58</f>
        <v/>
      </c>
      <c r="Q58" s="27">
        <f>C58+P58</f>
        <v/>
      </c>
      <c r="R58" s="26">
        <f>Q58*CONTROL!$B$12</f>
        <v/>
      </c>
      <c r="S58" s="26">
        <f>IF(B58&gt;CONTROL!$B$30,CONTROL!$B$29,0)</f>
        <v/>
      </c>
      <c r="T58" s="26">
        <f>-CONTROL!$B$37*CONTROL!$B$23</f>
        <v/>
      </c>
      <c r="U58" s="26">
        <f>(J58+K58+L58)*12*CONTROL!$B$22</f>
        <v/>
      </c>
      <c r="V58" s="26">
        <f>C58*CONTROL!$B$13+S58+T58+U58</f>
        <v/>
      </c>
      <c r="W58" s="26">
        <f>CONTROL!$B$14*(1+CONTROL!$B$16)^(B58/12)</f>
        <v/>
      </c>
      <c r="X58" s="26">
        <f>CONTROL!$B$15*(1+CONTROL!$B$16)^(B58/12)</f>
        <v/>
      </c>
      <c r="Y58" s="27">
        <f>R58+V58+W58+X58</f>
        <v/>
      </c>
      <c r="Z58" s="27">
        <f>Y58-Q58</f>
        <v/>
      </c>
      <c r="AA58" s="27">
        <f>AA57-Z58</f>
        <v/>
      </c>
    </row>
    <row r="59">
      <c r="A59" s="4" t="inlineStr">
        <is>
          <t>2027-10</t>
        </is>
      </c>
      <c r="B59" s="2" t="n">
        <v>14</v>
      </c>
      <c r="C59" s="27">
        <f>$C$41+$D$41*B59</f>
        <v/>
      </c>
      <c r="D59" s="28">
        <f>IF(B59-CONTROL!$B$30&lt;=0,0,IF(B59-CONTROL!$B$30=1,CONTROL!$B$31,IF(B59-CONTROL!$B$30=2,CONTROL!$B$32,CONTROL!$B$33)))</f>
        <v/>
      </c>
      <c r="E59" s="28">
        <f>CONTROL!$B$27*D59</f>
        <v/>
      </c>
      <c r="F59" s="28">
        <f>CONTROL!$B$20+E59*CONTROL!$B$28</f>
        <v/>
      </c>
      <c r="G59" s="28">
        <f>CONTROL!$B$20*CONTROL!$B$28+E59</f>
        <v/>
      </c>
      <c r="H59" s="28">
        <f>IF(E59&lt;=0,0,CONTROL!$B$20*IF(F59&lt;=CONTROL!$B$18,CONTROL!$B$17,CONTROL!$B$17*(CONTROL!$B$18/F59)^CONTROL!$B$19)+E59*IF(G59&lt;=CONTROL!$B$18,CONTROL!$B$17,CONTROL!$B$17*(CONTROL!$B$18/G59)^CONTROL!$B$19)-CONTROL!$B$20*IF(CONTROL!$B$20&lt;=CONTROL!$B$18,CONTROL!$B$17,CONTROL!$B$17*(CONTROL!$B$18/CONTROL!$B$20)^CONTROL!$B$19))</f>
        <v/>
      </c>
      <c r="I59" s="28">
        <f>H59*CONTROL!$B$21</f>
        <v/>
      </c>
      <c r="J59" s="26">
        <f>I59*CONTROL!$B$34*DATA_SEGMENTS!$D$2/12-CONTROL!$B$37*CONTROL!$B$24*DATA_SEGMENTS!$F$2</f>
        <v/>
      </c>
      <c r="K59" s="26">
        <f>I59*CONTROL!$B$35*DATA_SEGMENTS!$D$3/12-CONTROL!$B$37*CONTROL!$B$24*DATA_SEGMENTS!$F$3</f>
        <v/>
      </c>
      <c r="L59" s="26">
        <f>I59*CONTROL!$B$36*DATA_SEGMENTS!$D$4/12-CONTROL!$B$37*CONTROL!$B$24*DATA_SEGMENTS!$F$4</f>
        <v/>
      </c>
      <c r="M59" s="26">
        <f>IF(B59&lt;=DATA_SEGMENTS!$E$2,0,M58*DATA_SEGMENTS!$C$2+INDEX($J$46:$J$63,B59-DATA_SEGMENTS!$E$2))</f>
        <v/>
      </c>
      <c r="N59" s="26">
        <f>IF(B59&lt;=DATA_SEGMENTS!$E$3,0,N58*DATA_SEGMENTS!$C$3+INDEX($K$46:$K$63,B59-DATA_SEGMENTS!$E$3))</f>
        <v/>
      </c>
      <c r="O59" s="26">
        <f>IF(B59&lt;=DATA_SEGMENTS!$E$4,0,O58*DATA_SEGMENTS!$C$4+INDEX($L$46:$L$63,B59-DATA_SEGMENTS!$E$4))</f>
        <v/>
      </c>
      <c r="P59" s="27">
        <f>M59+N59+O59</f>
        <v/>
      </c>
      <c r="Q59" s="27">
        <f>C59+P59</f>
        <v/>
      </c>
      <c r="R59" s="26">
        <f>Q59*CONTROL!$B$12</f>
        <v/>
      </c>
      <c r="S59" s="26">
        <f>IF(B59&gt;CONTROL!$B$30,CONTROL!$B$29,0)</f>
        <v/>
      </c>
      <c r="T59" s="26">
        <f>-CONTROL!$B$37*CONTROL!$B$23</f>
        <v/>
      </c>
      <c r="U59" s="26">
        <f>(J59+K59+L59)*12*CONTROL!$B$22</f>
        <v/>
      </c>
      <c r="V59" s="26">
        <f>C59*CONTROL!$B$13+S59+T59+U59</f>
        <v/>
      </c>
      <c r="W59" s="26">
        <f>CONTROL!$B$14*(1+CONTROL!$B$16)^(B59/12)</f>
        <v/>
      </c>
      <c r="X59" s="26">
        <f>CONTROL!$B$15*(1+CONTROL!$B$16)^(B59/12)</f>
        <v/>
      </c>
      <c r="Y59" s="27">
        <f>R59+V59+W59+X59</f>
        <v/>
      </c>
      <c r="Z59" s="27">
        <f>Y59-Q59</f>
        <v/>
      </c>
      <c r="AA59" s="27">
        <f>AA58-Z59</f>
        <v/>
      </c>
    </row>
    <row r="60">
      <c r="A60" s="4" t="inlineStr">
        <is>
          <t>2027-11</t>
        </is>
      </c>
      <c r="B60" s="2" t="n">
        <v>15</v>
      </c>
      <c r="C60" s="27">
        <f>$C$41+$D$41*B60</f>
        <v/>
      </c>
      <c r="D60" s="28">
        <f>IF(B60-CONTROL!$B$30&lt;=0,0,IF(B60-CONTROL!$B$30=1,CONTROL!$B$31,IF(B60-CONTROL!$B$30=2,CONTROL!$B$32,CONTROL!$B$33)))</f>
        <v/>
      </c>
      <c r="E60" s="28">
        <f>CONTROL!$B$27*D60</f>
        <v/>
      </c>
      <c r="F60" s="28">
        <f>CONTROL!$B$20+E60*CONTROL!$B$28</f>
        <v/>
      </c>
      <c r="G60" s="28">
        <f>CONTROL!$B$20*CONTROL!$B$28+E60</f>
        <v/>
      </c>
      <c r="H60" s="28">
        <f>IF(E60&lt;=0,0,CONTROL!$B$20*IF(F60&lt;=CONTROL!$B$18,CONTROL!$B$17,CONTROL!$B$17*(CONTROL!$B$18/F60)^CONTROL!$B$19)+E60*IF(G60&lt;=CONTROL!$B$18,CONTROL!$B$17,CONTROL!$B$17*(CONTROL!$B$18/G60)^CONTROL!$B$19)-CONTROL!$B$20*IF(CONTROL!$B$20&lt;=CONTROL!$B$18,CONTROL!$B$17,CONTROL!$B$17*(CONTROL!$B$18/CONTROL!$B$20)^CONTROL!$B$19))</f>
        <v/>
      </c>
      <c r="I60" s="28">
        <f>H60*CONTROL!$B$21</f>
        <v/>
      </c>
      <c r="J60" s="26">
        <f>I60*CONTROL!$B$34*DATA_SEGMENTS!$D$2/12-CONTROL!$B$37*CONTROL!$B$24*DATA_SEGMENTS!$F$2</f>
        <v/>
      </c>
      <c r="K60" s="26">
        <f>I60*CONTROL!$B$35*DATA_SEGMENTS!$D$3/12-CONTROL!$B$37*CONTROL!$B$24*DATA_SEGMENTS!$F$3</f>
        <v/>
      </c>
      <c r="L60" s="26">
        <f>I60*CONTROL!$B$36*DATA_SEGMENTS!$D$4/12-CONTROL!$B$37*CONTROL!$B$24*DATA_SEGMENTS!$F$4</f>
        <v/>
      </c>
      <c r="M60" s="26">
        <f>IF(B60&lt;=DATA_SEGMENTS!$E$2,0,M59*DATA_SEGMENTS!$C$2+INDEX($J$46:$J$63,B60-DATA_SEGMENTS!$E$2))</f>
        <v/>
      </c>
      <c r="N60" s="26">
        <f>IF(B60&lt;=DATA_SEGMENTS!$E$3,0,N59*DATA_SEGMENTS!$C$3+INDEX($K$46:$K$63,B60-DATA_SEGMENTS!$E$3))</f>
        <v/>
      </c>
      <c r="O60" s="26">
        <f>IF(B60&lt;=DATA_SEGMENTS!$E$4,0,O59*DATA_SEGMENTS!$C$4+INDEX($L$46:$L$63,B60-DATA_SEGMENTS!$E$4))</f>
        <v/>
      </c>
      <c r="P60" s="27">
        <f>M60+N60+O60</f>
        <v/>
      </c>
      <c r="Q60" s="27">
        <f>C60+P60</f>
        <v/>
      </c>
      <c r="R60" s="26">
        <f>Q60*CONTROL!$B$12</f>
        <v/>
      </c>
      <c r="S60" s="26">
        <f>IF(B60&gt;CONTROL!$B$30,CONTROL!$B$29,0)</f>
        <v/>
      </c>
      <c r="T60" s="26">
        <f>-CONTROL!$B$37*CONTROL!$B$23</f>
        <v/>
      </c>
      <c r="U60" s="26">
        <f>(J60+K60+L60)*12*CONTROL!$B$22</f>
        <v/>
      </c>
      <c r="V60" s="26">
        <f>C60*CONTROL!$B$13+S60+T60+U60</f>
        <v/>
      </c>
      <c r="W60" s="26">
        <f>CONTROL!$B$14*(1+CONTROL!$B$16)^(B60/12)</f>
        <v/>
      </c>
      <c r="X60" s="26">
        <f>CONTROL!$B$15*(1+CONTROL!$B$16)^(B60/12)</f>
        <v/>
      </c>
      <c r="Y60" s="27">
        <f>R60+V60+W60+X60</f>
        <v/>
      </c>
      <c r="Z60" s="27">
        <f>Y60-Q60</f>
        <v/>
      </c>
      <c r="AA60" s="27">
        <f>AA59-Z60</f>
        <v/>
      </c>
    </row>
    <row r="61">
      <c r="A61" s="4" t="inlineStr">
        <is>
          <t>2027-12</t>
        </is>
      </c>
      <c r="B61" s="2" t="n">
        <v>16</v>
      </c>
      <c r="C61" s="27">
        <f>$C$41+$D$41*B61</f>
        <v/>
      </c>
      <c r="D61" s="28">
        <f>IF(B61-CONTROL!$B$30&lt;=0,0,IF(B61-CONTROL!$B$30=1,CONTROL!$B$31,IF(B61-CONTROL!$B$30=2,CONTROL!$B$32,CONTROL!$B$33)))</f>
        <v/>
      </c>
      <c r="E61" s="28">
        <f>CONTROL!$B$27*D61</f>
        <v/>
      </c>
      <c r="F61" s="28">
        <f>CONTROL!$B$20+E61*CONTROL!$B$28</f>
        <v/>
      </c>
      <c r="G61" s="28">
        <f>CONTROL!$B$20*CONTROL!$B$28+E61</f>
        <v/>
      </c>
      <c r="H61" s="28">
        <f>IF(E61&lt;=0,0,CONTROL!$B$20*IF(F61&lt;=CONTROL!$B$18,CONTROL!$B$17,CONTROL!$B$17*(CONTROL!$B$18/F61)^CONTROL!$B$19)+E61*IF(G61&lt;=CONTROL!$B$18,CONTROL!$B$17,CONTROL!$B$17*(CONTROL!$B$18/G61)^CONTROL!$B$19)-CONTROL!$B$20*IF(CONTROL!$B$20&lt;=CONTROL!$B$18,CONTROL!$B$17,CONTROL!$B$17*(CONTROL!$B$18/CONTROL!$B$20)^CONTROL!$B$19))</f>
        <v/>
      </c>
      <c r="I61" s="28">
        <f>H61*CONTROL!$B$21</f>
        <v/>
      </c>
      <c r="J61" s="26">
        <f>I61*CONTROL!$B$34*DATA_SEGMENTS!$D$2/12-CONTROL!$B$37*CONTROL!$B$24*DATA_SEGMENTS!$F$2</f>
        <v/>
      </c>
      <c r="K61" s="26">
        <f>I61*CONTROL!$B$35*DATA_SEGMENTS!$D$3/12-CONTROL!$B$37*CONTROL!$B$24*DATA_SEGMENTS!$F$3</f>
        <v/>
      </c>
      <c r="L61" s="26">
        <f>I61*CONTROL!$B$36*DATA_SEGMENTS!$D$4/12-CONTROL!$B$37*CONTROL!$B$24*DATA_SEGMENTS!$F$4</f>
        <v/>
      </c>
      <c r="M61" s="26">
        <f>IF(B61&lt;=DATA_SEGMENTS!$E$2,0,M60*DATA_SEGMENTS!$C$2+INDEX($J$46:$J$63,B61-DATA_SEGMENTS!$E$2))</f>
        <v/>
      </c>
      <c r="N61" s="26">
        <f>IF(B61&lt;=DATA_SEGMENTS!$E$3,0,N60*DATA_SEGMENTS!$C$3+INDEX($K$46:$K$63,B61-DATA_SEGMENTS!$E$3))</f>
        <v/>
      </c>
      <c r="O61" s="26">
        <f>IF(B61&lt;=DATA_SEGMENTS!$E$4,0,O60*DATA_SEGMENTS!$C$4+INDEX($L$46:$L$63,B61-DATA_SEGMENTS!$E$4))</f>
        <v/>
      </c>
      <c r="P61" s="27">
        <f>M61+N61+O61</f>
        <v/>
      </c>
      <c r="Q61" s="27">
        <f>C61+P61</f>
        <v/>
      </c>
      <c r="R61" s="26">
        <f>Q61*CONTROL!$B$12</f>
        <v/>
      </c>
      <c r="S61" s="26">
        <f>IF(B61&gt;CONTROL!$B$30,CONTROL!$B$29,0)</f>
        <v/>
      </c>
      <c r="T61" s="26">
        <f>-CONTROL!$B$37*CONTROL!$B$23</f>
        <v/>
      </c>
      <c r="U61" s="26">
        <f>(J61+K61+L61)*12*CONTROL!$B$22</f>
        <v/>
      </c>
      <c r="V61" s="26">
        <f>C61*CONTROL!$B$13+S61+T61+U61</f>
        <v/>
      </c>
      <c r="W61" s="26">
        <f>CONTROL!$B$14*(1+CONTROL!$B$16)^(B61/12)</f>
        <v/>
      </c>
      <c r="X61" s="26">
        <f>CONTROL!$B$15*(1+CONTROL!$B$16)^(B61/12)</f>
        <v/>
      </c>
      <c r="Y61" s="27">
        <f>R61+V61+W61+X61</f>
        <v/>
      </c>
      <c r="Z61" s="27">
        <f>Y61-Q61</f>
        <v/>
      </c>
      <c r="AA61" s="27">
        <f>AA60-Z61</f>
        <v/>
      </c>
    </row>
    <row r="62">
      <c r="A62" s="4" t="inlineStr">
        <is>
          <t>2028-01</t>
        </is>
      </c>
      <c r="B62" s="2" t="n">
        <v>17</v>
      </c>
      <c r="C62" s="27">
        <f>$C$41+$D$41*B62</f>
        <v/>
      </c>
      <c r="D62" s="28">
        <f>IF(B62-CONTROL!$B$30&lt;=0,0,IF(B62-CONTROL!$B$30=1,CONTROL!$B$31,IF(B62-CONTROL!$B$30=2,CONTROL!$B$32,CONTROL!$B$33)))</f>
        <v/>
      </c>
      <c r="E62" s="28">
        <f>CONTROL!$B$27*D62</f>
        <v/>
      </c>
      <c r="F62" s="28">
        <f>CONTROL!$B$20+E62*CONTROL!$B$28</f>
        <v/>
      </c>
      <c r="G62" s="28">
        <f>CONTROL!$B$20*CONTROL!$B$28+E62</f>
        <v/>
      </c>
      <c r="H62" s="28">
        <f>IF(E62&lt;=0,0,CONTROL!$B$20*IF(F62&lt;=CONTROL!$B$18,CONTROL!$B$17,CONTROL!$B$17*(CONTROL!$B$18/F62)^CONTROL!$B$19)+E62*IF(G62&lt;=CONTROL!$B$18,CONTROL!$B$17,CONTROL!$B$17*(CONTROL!$B$18/G62)^CONTROL!$B$19)-CONTROL!$B$20*IF(CONTROL!$B$20&lt;=CONTROL!$B$18,CONTROL!$B$17,CONTROL!$B$17*(CONTROL!$B$18/CONTROL!$B$20)^CONTROL!$B$19))</f>
        <v/>
      </c>
      <c r="I62" s="28">
        <f>H62*CONTROL!$B$21</f>
        <v/>
      </c>
      <c r="J62" s="26">
        <f>I62*CONTROL!$B$34*DATA_SEGMENTS!$D$2/12-CONTROL!$B$37*CONTROL!$B$24*DATA_SEGMENTS!$F$2</f>
        <v/>
      </c>
      <c r="K62" s="26">
        <f>I62*CONTROL!$B$35*DATA_SEGMENTS!$D$3/12-CONTROL!$B$37*CONTROL!$B$24*DATA_SEGMENTS!$F$3</f>
        <v/>
      </c>
      <c r="L62" s="26">
        <f>I62*CONTROL!$B$36*DATA_SEGMENTS!$D$4/12-CONTROL!$B$37*CONTROL!$B$24*DATA_SEGMENTS!$F$4</f>
        <v/>
      </c>
      <c r="M62" s="26">
        <f>IF(B62&lt;=DATA_SEGMENTS!$E$2,0,M61*DATA_SEGMENTS!$C$2+INDEX($J$46:$J$63,B62-DATA_SEGMENTS!$E$2))</f>
        <v/>
      </c>
      <c r="N62" s="26">
        <f>IF(B62&lt;=DATA_SEGMENTS!$E$3,0,N61*DATA_SEGMENTS!$C$3+INDEX($K$46:$K$63,B62-DATA_SEGMENTS!$E$3))</f>
        <v/>
      </c>
      <c r="O62" s="26">
        <f>IF(B62&lt;=DATA_SEGMENTS!$E$4,0,O61*DATA_SEGMENTS!$C$4+INDEX($L$46:$L$63,B62-DATA_SEGMENTS!$E$4))</f>
        <v/>
      </c>
      <c r="P62" s="27">
        <f>M62+N62+O62</f>
        <v/>
      </c>
      <c r="Q62" s="27">
        <f>C62+P62</f>
        <v/>
      </c>
      <c r="R62" s="26">
        <f>Q62*CONTROL!$B$12</f>
        <v/>
      </c>
      <c r="S62" s="26">
        <f>IF(B62&gt;CONTROL!$B$30,CONTROL!$B$29,0)</f>
        <v/>
      </c>
      <c r="T62" s="26">
        <f>-CONTROL!$B$37*CONTROL!$B$23</f>
        <v/>
      </c>
      <c r="U62" s="26">
        <f>(J62+K62+L62)*12*CONTROL!$B$22</f>
        <v/>
      </c>
      <c r="V62" s="26">
        <f>C62*CONTROL!$B$13+S62+T62+U62</f>
        <v/>
      </c>
      <c r="W62" s="26">
        <f>CONTROL!$B$14*(1+CONTROL!$B$16)^(B62/12)</f>
        <v/>
      </c>
      <c r="X62" s="26">
        <f>CONTROL!$B$15*(1+CONTROL!$B$16)^(B62/12)</f>
        <v/>
      </c>
      <c r="Y62" s="27">
        <f>R62+V62+W62+X62</f>
        <v/>
      </c>
      <c r="Z62" s="27">
        <f>Y62-Q62</f>
        <v/>
      </c>
      <c r="AA62" s="27">
        <f>AA61-Z62</f>
        <v/>
      </c>
    </row>
    <row r="63">
      <c r="A63" s="4" t="inlineStr">
        <is>
          <t>2028-02</t>
        </is>
      </c>
      <c r="B63" s="2" t="n">
        <v>18</v>
      </c>
      <c r="C63" s="27">
        <f>$C$41+$D$41*B63</f>
        <v/>
      </c>
      <c r="D63" s="28">
        <f>IF(B63-CONTROL!$B$30&lt;=0,0,IF(B63-CONTROL!$B$30=1,CONTROL!$B$31,IF(B63-CONTROL!$B$30=2,CONTROL!$B$32,CONTROL!$B$33)))</f>
        <v/>
      </c>
      <c r="E63" s="28">
        <f>CONTROL!$B$27*D63</f>
        <v/>
      </c>
      <c r="F63" s="28">
        <f>CONTROL!$B$20+E63*CONTROL!$B$28</f>
        <v/>
      </c>
      <c r="G63" s="28">
        <f>CONTROL!$B$20*CONTROL!$B$28+E63</f>
        <v/>
      </c>
      <c r="H63" s="28">
        <f>IF(E63&lt;=0,0,CONTROL!$B$20*IF(F63&lt;=CONTROL!$B$18,CONTROL!$B$17,CONTROL!$B$17*(CONTROL!$B$18/F63)^CONTROL!$B$19)+E63*IF(G63&lt;=CONTROL!$B$18,CONTROL!$B$17,CONTROL!$B$17*(CONTROL!$B$18/G63)^CONTROL!$B$19)-CONTROL!$B$20*IF(CONTROL!$B$20&lt;=CONTROL!$B$18,CONTROL!$B$17,CONTROL!$B$17*(CONTROL!$B$18/CONTROL!$B$20)^CONTROL!$B$19))</f>
        <v/>
      </c>
      <c r="I63" s="28">
        <f>H63*CONTROL!$B$21</f>
        <v/>
      </c>
      <c r="J63" s="26">
        <f>I63*CONTROL!$B$34*DATA_SEGMENTS!$D$2/12-CONTROL!$B$37*CONTROL!$B$24*DATA_SEGMENTS!$F$2</f>
        <v/>
      </c>
      <c r="K63" s="26">
        <f>I63*CONTROL!$B$35*DATA_SEGMENTS!$D$3/12-CONTROL!$B$37*CONTROL!$B$24*DATA_SEGMENTS!$F$3</f>
        <v/>
      </c>
      <c r="L63" s="26">
        <f>I63*CONTROL!$B$36*DATA_SEGMENTS!$D$4/12-CONTROL!$B$37*CONTROL!$B$24*DATA_SEGMENTS!$F$4</f>
        <v/>
      </c>
      <c r="M63" s="26">
        <f>IF(B63&lt;=DATA_SEGMENTS!$E$2,0,M62*DATA_SEGMENTS!$C$2+INDEX($J$46:$J$63,B63-DATA_SEGMENTS!$E$2))</f>
        <v/>
      </c>
      <c r="N63" s="26">
        <f>IF(B63&lt;=DATA_SEGMENTS!$E$3,0,N62*DATA_SEGMENTS!$C$3+INDEX($K$46:$K$63,B63-DATA_SEGMENTS!$E$3))</f>
        <v/>
      </c>
      <c r="O63" s="26">
        <f>IF(B63&lt;=DATA_SEGMENTS!$E$4,0,O62*DATA_SEGMENTS!$C$4+INDEX($L$46:$L$63,B63-DATA_SEGMENTS!$E$4))</f>
        <v/>
      </c>
      <c r="P63" s="27">
        <f>M63+N63+O63</f>
        <v/>
      </c>
      <c r="Q63" s="27">
        <f>C63+P63</f>
        <v/>
      </c>
      <c r="R63" s="26">
        <f>Q63*CONTROL!$B$12</f>
        <v/>
      </c>
      <c r="S63" s="26">
        <f>IF(B63&gt;CONTROL!$B$30,CONTROL!$B$29,0)</f>
        <v/>
      </c>
      <c r="T63" s="26">
        <f>-CONTROL!$B$37*CONTROL!$B$23</f>
        <v/>
      </c>
      <c r="U63" s="26">
        <f>(J63+K63+L63)*12*CONTROL!$B$22</f>
        <v/>
      </c>
      <c r="V63" s="26">
        <f>C63*CONTROL!$B$13+S63+T63+U63</f>
        <v/>
      </c>
      <c r="W63" s="26">
        <f>CONTROL!$B$14*(1+CONTROL!$B$16)^(B63/12)</f>
        <v/>
      </c>
      <c r="X63" s="26">
        <f>CONTROL!$B$15*(1+CONTROL!$B$16)^(B63/12)</f>
        <v/>
      </c>
      <c r="Y63" s="27">
        <f>R63+V63+W63+X63</f>
        <v/>
      </c>
      <c r="Z63" s="27">
        <f>Y63-Q63</f>
        <v/>
      </c>
      <c r="AA63" s="27">
        <f>AA62-Z63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46" customWidth="1" min="5" max="5"/>
  </cols>
  <sheetData>
    <row r="1">
      <c r="A1" s="1" t="inlineStr">
        <is>
          <t>NORTHWIND CLOUD — THE ANSWER</t>
        </is>
      </c>
    </row>
    <row r="2">
      <c r="A2" s="5">
        <f>"Active scenario: "&amp;CONTROL!$B$3</f>
        <v/>
      </c>
    </row>
    <row r="4">
      <c r="A4" s="3" t="inlineStr">
        <is>
          <t>POSITION TODAY</t>
        </is>
      </c>
    </row>
    <row r="5">
      <c r="A5" s="2" t="inlineStr">
        <is>
          <t>ARR (latest actual month)</t>
        </is>
      </c>
      <c r="B5" s="23">
        <f>DATA_ACTUALS!C37*12</f>
        <v/>
      </c>
    </row>
    <row r="6">
      <c r="A6" s="2" t="inlineStr">
        <is>
          <t>Net burn, trailing 3 months</t>
        </is>
      </c>
      <c r="B6" s="23">
        <f>AVERAGE(DATA_ACTUALS!P35:P37)</f>
        <v/>
      </c>
    </row>
    <row r="7">
      <c r="A7" s="2" t="inlineStr">
        <is>
          <t>Cash on hand</t>
        </is>
      </c>
      <c r="B7" s="23">
        <f>CONTROL!$B$7</f>
        <v/>
      </c>
    </row>
    <row r="8">
      <c r="A8" s="2" t="inlineStr">
        <is>
          <t>Static runway (cash / current burn), months</t>
        </is>
      </c>
      <c r="B8" s="28">
        <f>CONTROL!$B$7/AVERAGE(DATA_ACTUALS!P35:P37)</f>
        <v/>
      </c>
    </row>
    <row r="10">
      <c r="A10" s="3" t="inlineStr">
        <is>
          <t>UNDER THE ACTIVE SCENARIO (18 months out)</t>
        </is>
      </c>
    </row>
    <row r="11">
      <c r="A11" s="2" t="inlineStr">
        <is>
          <t>Incremental S&amp;M, $/month</t>
        </is>
      </c>
      <c r="B11" s="23">
        <f>CONTROL!$B$29</f>
        <v/>
      </c>
    </row>
    <row r="12">
      <c r="A12" s="2" t="inlineStr">
        <is>
          <t>Paid Social spend retired, $/month</t>
        </is>
      </c>
      <c r="B12" s="23">
        <f>CONTROL!$B$37*CONTROL!$B$23</f>
        <v/>
      </c>
    </row>
    <row r="13">
      <c r="A13" s="2" t="inlineStr">
        <is>
          <t>Net incremental cost, $/month</t>
        </is>
      </c>
      <c r="B13" s="23">
        <f>CONTROL!$B$29-CONTROL!$B$37*CONTROL!$B$23</f>
        <v/>
      </c>
    </row>
    <row r="14">
      <c r="A14" s="2" t="inlineStr">
        <is>
          <t>ARR at month 18</t>
        </is>
      </c>
      <c r="B14" s="23">
        <f>CALC_FORECAST!Q63*12</f>
        <v/>
      </c>
    </row>
    <row r="15">
      <c r="A15" s="2" t="inlineStr">
        <is>
          <t>Incremental ARR vs base at month 18</t>
        </is>
      </c>
      <c r="B15" s="23">
        <f>CALC_FORECAST!P63*12</f>
        <v/>
      </c>
    </row>
    <row r="16">
      <c r="A16" s="2" t="inlineStr">
        <is>
          <t>Net burn at month 18</t>
        </is>
      </c>
      <c r="B16" s="23">
        <f>CALC_FORECAST!Z63</f>
        <v/>
      </c>
    </row>
    <row r="17">
      <c r="A17" s="2" t="inlineStr">
        <is>
          <t>Cash at month 18</t>
        </is>
      </c>
      <c r="B17" s="23">
        <f>CALC_FORECAST!AA63</f>
        <v/>
      </c>
    </row>
    <row r="18">
      <c r="A18" s="2" t="inlineStr">
        <is>
          <t>Months of cash left at month 18</t>
        </is>
      </c>
      <c r="B18" s="28">
        <f>IFERROR(CALC_FORECAST!AA63/AVERAGE(CALC_FORECAST!Z61:Z63),"n/a")</f>
        <v/>
      </c>
    </row>
    <row r="19">
      <c r="A19" s="2" t="inlineStr">
        <is>
          <t>Incremental wins per month (fully ramped)</t>
        </is>
      </c>
      <c r="B19" s="28">
        <f>CALC_FORECAST!I63</f>
        <v/>
      </c>
    </row>
    <row r="20">
      <c r="A20" s="2" t="inlineStr">
        <is>
          <t>Incremental CAC</t>
        </is>
      </c>
      <c r="B20" s="23">
        <f>IFERROR(CONTROL!$B$29/CALC_FORECAST!I63,"n/a")</f>
        <v/>
      </c>
    </row>
    <row r="21">
      <c r="A21" s="2" t="inlineStr">
        <is>
          <t>Blended ACV of incremental wins</t>
        </is>
      </c>
      <c r="B21" s="23">
        <f>CONTROL!$B$34*DATA_SEGMENTS!$D$2+CONTROL!$B$35*DATA_SEGMENTS!$D$3+CONTROL!$B$36*DATA_SEGMENTS!$D$4</f>
        <v/>
      </c>
    </row>
    <row r="22">
      <c r="A22" s="2" t="inlineStr">
        <is>
          <t>Blended gross margin of incremental wins</t>
        </is>
      </c>
      <c r="B22" s="29">
        <f>CONTROL!$B$34*DATA_SEGMENTS!$B$2+CONTROL!$B$35*DATA_SEGMENTS!$B$3+CONTROL!$B$36*DATA_SEGMENTS!$B$4</f>
        <v/>
      </c>
    </row>
    <row r="23">
      <c r="A23" s="2" t="inlineStr">
        <is>
          <t>Incremental CAC payback (months)</t>
        </is>
      </c>
      <c r="B23" s="25">
        <f>IFERROR(B20/(B21/12*B22),"n/a")</f>
        <v/>
      </c>
    </row>
    <row r="24">
      <c r="A24" s="3" t="inlineStr">
        <is>
          <t>VERDICT vs the payback hurdle</t>
        </is>
      </c>
      <c r="B24" s="7">
        <f>IF(B23&lt;=CONTROL!$B$9,"APPROVE","REJECT")</f>
        <v/>
      </c>
      <c r="C24" s="5">
        <f>"payback "&amp;TEXT(B23,"0.0")&amp;" months vs hurdle "&amp;TEXT(CONTROL!$B$9,"0")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46" customWidth="1" min="4" max="4"/>
  </cols>
  <sheetData>
    <row r="1">
      <c r="A1" s="13" t="inlineStr">
        <is>
          <t>metric_key</t>
        </is>
      </c>
      <c r="B1" s="13" t="inlineStr">
        <is>
          <t>reference_value</t>
        </is>
      </c>
      <c r="C1" s="13" t="inlineStr">
        <is>
          <t>tolerance</t>
        </is>
      </c>
      <c r="D1" s="13" t="inlineStr">
        <is>
          <t>source</t>
        </is>
      </c>
    </row>
    <row r="2">
      <c r="A2" s="4" t="inlineStr">
        <is>
          <t>arr_latest</t>
        </is>
      </c>
      <c r="B2" s="14" t="n">
        <v>12374313.6</v>
      </c>
      <c r="C2" s="18" t="n">
        <v>0.005</v>
      </c>
      <c r="D2" s="4" t="inlineStr">
        <is>
          <t>SQL v_pnl_month, full precision</t>
        </is>
      </c>
    </row>
    <row r="3">
      <c r="A3" s="4" t="inlineStr">
        <is>
          <t>burn_3m_avg</t>
        </is>
      </c>
      <c r="B3" s="14" t="n">
        <v>335925.3566666667</v>
      </c>
      <c r="C3" s="18" t="n">
        <v>0.005</v>
      </c>
      <c r="D3" s="4" t="inlineStr">
        <is>
          <t>SQL v_pnl_month, full precision</t>
        </is>
      </c>
    </row>
    <row r="4">
      <c r="A4" s="4" t="inlineStr">
        <is>
          <t>arr_bridge_closing_latest</t>
        </is>
      </c>
      <c r="B4" s="14" t="n">
        <v>12374313.6</v>
      </c>
      <c r="C4" s="18" t="n">
        <v>0.005</v>
      </c>
      <c r="D4" s="4" t="inlineStr">
        <is>
          <t>SQL Q02 (rounded 2dp -&gt; tolerance 0.005)</t>
        </is>
      </c>
    </row>
    <row r="5">
      <c r="A5" s="4" t="inlineStr">
        <is>
          <t>arr_bridge_max_residual</t>
        </is>
      </c>
      <c r="B5" s="14" t="n">
        <v>0</v>
      </c>
      <c r="C5" s="18" t="n">
        <v>0.005</v>
      </c>
      <c r="D5" s="4" t="inlineStr">
        <is>
          <t>SQL Q02</t>
        </is>
      </c>
    </row>
    <row r="6">
      <c r="A6" s="4" t="inlineStr">
        <is>
          <t>cac__partner</t>
        </is>
      </c>
      <c r="B6" s="14" t="n">
        <v>29880</v>
      </c>
      <c r="C6" s="18" t="n">
        <v>0.5</v>
      </c>
      <c r="D6" s="4" t="inlineStr">
        <is>
          <t>SQL Q07 (rounded 0dp -&gt; tolerance 0.5)</t>
        </is>
      </c>
    </row>
    <row r="7">
      <c r="A7" s="4" t="inlineStr">
        <is>
          <t>payback__partner</t>
        </is>
      </c>
      <c r="B7" s="14" t="n">
        <v>12.5</v>
      </c>
      <c r="C7" s="18" t="n">
        <v>0.05</v>
      </c>
      <c r="D7" s="4" t="inlineStr">
        <is>
          <t>SQL Q07 (rounded 1dp -&gt; tolerance 0.05)</t>
        </is>
      </c>
    </row>
    <row r="8">
      <c r="A8" s="4" t="inlineStr">
        <is>
          <t>ltvcac__partner</t>
        </is>
      </c>
      <c r="B8" s="14" t="n">
        <v>5.25</v>
      </c>
      <c r="C8" s="18" t="n">
        <v>0.0051</v>
      </c>
      <c r="D8" s="4" t="inlineStr">
        <is>
          <t>SQL Q07 (rounded 2dp -&gt; tolerance 0.005)</t>
        </is>
      </c>
    </row>
    <row r="9">
      <c r="A9" s="4" t="inlineStr">
        <is>
          <t>cac__inbound_content</t>
        </is>
      </c>
      <c r="B9" s="14" t="n">
        <v>32118</v>
      </c>
      <c r="C9" s="18" t="n">
        <v>0.5</v>
      </c>
      <c r="D9" s="4" t="inlineStr">
        <is>
          <t>SQL Q07 (rounded 0dp -&gt; tolerance 0.5)</t>
        </is>
      </c>
    </row>
    <row r="10">
      <c r="A10" s="4" t="inlineStr">
        <is>
          <t>payback__inbound_content</t>
        </is>
      </c>
      <c r="B10" s="14" t="n">
        <v>18.8</v>
      </c>
      <c r="C10" s="18" t="n">
        <v>0.05</v>
      </c>
      <c r="D10" s="4" t="inlineStr">
        <is>
          <t>SQL Q07 (rounded 1dp -&gt; tolerance 0.05)</t>
        </is>
      </c>
    </row>
    <row r="11">
      <c r="A11" s="4" t="inlineStr">
        <is>
          <t>ltvcac__inbound_content</t>
        </is>
      </c>
      <c r="B11" s="14" t="n">
        <v>3.77</v>
      </c>
      <c r="C11" s="18" t="n">
        <v>0.0051</v>
      </c>
      <c r="D11" s="4" t="inlineStr">
        <is>
          <t>SQL Q07 (rounded 2dp -&gt; tolerance 0.005)</t>
        </is>
      </c>
    </row>
    <row r="12">
      <c r="A12" s="4" t="inlineStr">
        <is>
          <t>cac__paid_search</t>
        </is>
      </c>
      <c r="B12" s="14" t="n">
        <v>21277</v>
      </c>
      <c r="C12" s="18" t="n">
        <v>0.5</v>
      </c>
      <c r="D12" s="4" t="inlineStr">
        <is>
          <t>SQL Q07 (rounded 0dp -&gt; tolerance 0.5)</t>
        </is>
      </c>
    </row>
    <row r="13">
      <c r="A13" s="4" t="inlineStr">
        <is>
          <t>payback__paid_search</t>
        </is>
      </c>
      <c r="B13" s="14" t="n">
        <v>21.7</v>
      </c>
      <c r="C13" s="18" t="n">
        <v>0.05</v>
      </c>
      <c r="D13" s="4" t="inlineStr">
        <is>
          <t>SQL Q07 (rounded 1dp -&gt; tolerance 0.05)</t>
        </is>
      </c>
    </row>
    <row r="14">
      <c r="A14" s="4" t="inlineStr">
        <is>
          <t>ltvcac__paid_search</t>
        </is>
      </c>
      <c r="B14" s="14" t="n">
        <v>2.59</v>
      </c>
      <c r="C14" s="18" t="n">
        <v>0.0051</v>
      </c>
      <c r="D14" s="4" t="inlineStr">
        <is>
          <t>SQL Q07 (rounded 2dp -&gt; tolerance 0.005)</t>
        </is>
      </c>
    </row>
    <row r="15">
      <c r="A15" s="4" t="inlineStr">
        <is>
          <t>cac__outbound_sdr</t>
        </is>
      </c>
      <c r="B15" s="14" t="n">
        <v>72219</v>
      </c>
      <c r="C15" s="18" t="n">
        <v>0.5</v>
      </c>
      <c r="D15" s="4" t="inlineStr">
        <is>
          <t>SQL Q07 (rounded 0dp -&gt; tolerance 0.5)</t>
        </is>
      </c>
    </row>
    <row r="16">
      <c r="A16" s="4" t="inlineStr">
        <is>
          <t>payback__outbound_sdr</t>
        </is>
      </c>
      <c r="B16" s="14" t="n">
        <v>26.1</v>
      </c>
      <c r="C16" s="18" t="n">
        <v>0.05</v>
      </c>
      <c r="D16" s="4" t="inlineStr">
        <is>
          <t>SQL Q07 (rounded 1dp -&gt; tolerance 0.05)</t>
        </is>
      </c>
    </row>
    <row r="17">
      <c r="A17" s="4" t="inlineStr">
        <is>
          <t>ltvcac__outbound_sdr</t>
        </is>
      </c>
      <c r="B17" s="14" t="n">
        <v>3.02</v>
      </c>
      <c r="C17" s="18" t="n">
        <v>0.0051</v>
      </c>
      <c r="D17" s="4" t="inlineStr">
        <is>
          <t>SQL Q07 (rounded 2dp -&gt; tolerance 0.005)</t>
        </is>
      </c>
    </row>
    <row r="18">
      <c r="A18" s="4" t="inlineStr">
        <is>
          <t>cac__events</t>
        </is>
      </c>
      <c r="B18" s="14" t="n">
        <v>175990</v>
      </c>
      <c r="C18" s="18" t="n">
        <v>0.5</v>
      </c>
      <c r="D18" s="4" t="inlineStr">
        <is>
          <t>SQL Q07 (rounded 0dp -&gt; tolerance 0.5)</t>
        </is>
      </c>
    </row>
    <row r="19">
      <c r="A19" s="4" t="inlineStr">
        <is>
          <t>payback__events</t>
        </is>
      </c>
      <c r="B19" s="14" t="n">
        <v>48.2</v>
      </c>
      <c r="C19" s="18" t="n">
        <v>0.05</v>
      </c>
      <c r="D19" s="4" t="inlineStr">
        <is>
          <t>SQL Q07 (rounded 1dp -&gt; tolerance 0.05)</t>
        </is>
      </c>
    </row>
    <row r="20">
      <c r="A20" s="4" t="inlineStr">
        <is>
          <t>ltvcac__events</t>
        </is>
      </c>
      <c r="B20" s="14" t="n">
        <v>3.27</v>
      </c>
      <c r="C20" s="18" t="n">
        <v>0.0051</v>
      </c>
      <c r="D20" s="4" t="inlineStr">
        <is>
          <t>SQL Q07 (rounded 2dp -&gt; tolerance 0.005)</t>
        </is>
      </c>
    </row>
    <row r="21">
      <c r="A21" s="4" t="inlineStr">
        <is>
          <t>cac__paid_social</t>
        </is>
      </c>
      <c r="B21" s="14" t="n">
        <v>30883</v>
      </c>
      <c r="C21" s="18" t="n">
        <v>0.5</v>
      </c>
      <c r="D21" s="4" t="inlineStr">
        <is>
          <t>SQL Q07 (rounded 0dp -&gt; tolerance 0.5)</t>
        </is>
      </c>
    </row>
    <row r="22">
      <c r="A22" s="4" t="inlineStr">
        <is>
          <t>payback__paid_social</t>
        </is>
      </c>
      <c r="B22" s="14" t="n">
        <v>68.5</v>
      </c>
      <c r="C22" s="18" t="n">
        <v>0.05</v>
      </c>
      <c r="D22" s="4" t="inlineStr">
        <is>
          <t>SQL Q07 (rounded 1dp -&gt; tolerance 0.05)</t>
        </is>
      </c>
    </row>
    <row r="23">
      <c r="A23" s="4" t="inlineStr">
        <is>
          <t>ltvcac__paid_social</t>
        </is>
      </c>
      <c r="B23" s="14" t="n">
        <v>0.29</v>
      </c>
      <c r="C23" s="18" t="n">
        <v>0.0051</v>
      </c>
      <c r="D23" s="4" t="inlineStr">
        <is>
          <t>SQL Q07 (rounded 2dp -&gt; tolerance 0.005)</t>
        </is>
      </c>
    </row>
    <row r="24">
      <c r="A24" s="4" t="inlineStr">
        <is>
          <t>cash_m18__base</t>
        </is>
      </c>
      <c r="B24" s="14" t="n">
        <v>805627</v>
      </c>
      <c r="C24" s="18" t="n">
        <v>0.5</v>
      </c>
      <c r="D24" s="4" t="inlineStr">
        <is>
          <t>Python cash model src/04 (rounded 0dp)</t>
        </is>
      </c>
    </row>
    <row r="25">
      <c r="A25" s="4" t="inlineStr">
        <is>
          <t>arr_m18__base</t>
        </is>
      </c>
      <c r="B25" s="14" t="n">
        <v>19723412</v>
      </c>
      <c r="C25" s="18" t="n">
        <v>0.5</v>
      </c>
      <c r="D25" s="4" t="inlineStr">
        <is>
          <t>Python cash model src/04 (rounded 0dp)</t>
        </is>
      </c>
    </row>
    <row r="26">
      <c r="A26" s="4" t="inlineStr">
        <is>
          <t>delta_arr_m18__base</t>
        </is>
      </c>
      <c r="B26" s="14" t="n">
        <v>0</v>
      </c>
      <c r="C26" s="18" t="n">
        <v>0.5</v>
      </c>
      <c r="D26" s="4" t="inlineStr">
        <is>
          <t>Python cash model src/04 (rounded 0dp)</t>
        </is>
      </c>
    </row>
    <row r="27">
      <c r="A27" s="4" t="inlineStr">
        <is>
          <t>cash_m18__sales_proposal</t>
        </is>
      </c>
      <c r="B27" s="14" t="n">
        <v>-1704336</v>
      </c>
      <c r="C27" s="18" t="n">
        <v>0.5</v>
      </c>
      <c r="D27" s="4" t="inlineStr">
        <is>
          <t>Python cash model src/04 (rounded 0dp)</t>
        </is>
      </c>
    </row>
    <row r="28">
      <c r="A28" s="4" t="inlineStr">
        <is>
          <t>arr_m18__sales_proposal</t>
        </is>
      </c>
      <c r="B28" s="14" t="n">
        <v>20963205</v>
      </c>
      <c r="C28" s="18" t="n">
        <v>0.5</v>
      </c>
      <c r="D28" s="4" t="inlineStr">
        <is>
          <t>Python cash model src/04 (rounded 0dp)</t>
        </is>
      </c>
    </row>
    <row r="29">
      <c r="A29" s="4" t="inlineStr">
        <is>
          <t>delta_arr_m18__sales_proposal</t>
        </is>
      </c>
      <c r="B29" s="14" t="n">
        <v>1239793</v>
      </c>
      <c r="C29" s="18" t="n">
        <v>0.5</v>
      </c>
      <c r="D29" s="4" t="inlineStr">
        <is>
          <t>Python cash model src/04 (rounded 0dp)</t>
        </is>
      </c>
    </row>
    <row r="30">
      <c r="A30" s="4" t="inlineStr">
        <is>
          <t>cash_m18__selective</t>
        </is>
      </c>
      <c r="B30" s="14" t="n">
        <v>1073224</v>
      </c>
      <c r="C30" s="18" t="n">
        <v>0.5</v>
      </c>
      <c r="D30" s="4" t="inlineStr">
        <is>
          <t>Python cash model src/04 (rounded 0dp)</t>
        </is>
      </c>
    </row>
    <row r="31">
      <c r="A31" s="4" t="inlineStr">
        <is>
          <t>arr_m18__selective</t>
        </is>
      </c>
      <c r="B31" s="14" t="n">
        <v>21039842</v>
      </c>
      <c r="C31" s="18" t="n">
        <v>0.5</v>
      </c>
      <c r="D31" s="4" t="inlineStr">
        <is>
          <t>Python cash model src/04 (rounded 0dp)</t>
        </is>
      </c>
    </row>
    <row r="32">
      <c r="A32" s="4" t="inlineStr">
        <is>
          <t>delta_arr_m18__selective</t>
        </is>
      </c>
      <c r="B32" s="14" t="n">
        <v>1316430</v>
      </c>
      <c r="C32" s="18" t="n">
        <v>0.5</v>
      </c>
      <c r="D32" s="4" t="inlineStr">
        <is>
          <t>Python cash model src/04 (rounded 0dp)</t>
        </is>
      </c>
    </row>
    <row r="33">
      <c r="A33" s="4" t="inlineStr">
        <is>
          <t>inc_cac__sales_proposal</t>
        </is>
      </c>
      <c r="B33" s="14" t="n">
        <v>79788</v>
      </c>
      <c r="C33" s="18" t="n">
        <v>0.5</v>
      </c>
      <c r="D33" s="4" t="inlineStr">
        <is>
          <t>Python sensitivity src/04 (rounded 0dp)</t>
        </is>
      </c>
    </row>
    <row r="34">
      <c r="A34" s="4" t="inlineStr">
        <is>
          <t>inc_payback__sales_proposal</t>
        </is>
      </c>
      <c r="B34" s="14" t="n">
        <v>28</v>
      </c>
      <c r="C34" s="18" t="n">
        <v>0.05</v>
      </c>
      <c r="D34" s="4" t="inlineStr">
        <is>
          <t>Python sensitivity src/04 (rounded 1dp)</t>
        </is>
      </c>
    </row>
    <row r="35">
      <c r="A35" s="4" t="inlineStr">
        <is>
          <t>inc_cac__selective</t>
        </is>
      </c>
      <c r="B35" s="14" t="n">
        <v>45671</v>
      </c>
      <c r="C35" s="18" t="n">
        <v>0.5</v>
      </c>
      <c r="D35" s="4" t="inlineStr">
        <is>
          <t>Python sensitivity src/04 (rounded 0dp)</t>
        </is>
      </c>
    </row>
    <row r="36">
      <c r="A36" s="4" t="inlineStr">
        <is>
          <t>inc_payback__selective</t>
        </is>
      </c>
      <c r="B36" s="14" t="n">
        <v>11.2</v>
      </c>
      <c r="C36" s="18" t="n">
        <v>0.05</v>
      </c>
      <c r="D36" s="4" t="inlineStr">
        <is>
          <t>Python sensitivity src/04 (rounded 1dp)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6" customWidth="1" min="4" max="4"/>
    <col width="14" customWidth="1" min="5" max="5"/>
    <col width="12" customWidth="1" min="6" max="6"/>
    <col width="40" customWidth="1" min="7" max="7"/>
  </cols>
  <sheetData>
    <row r="1">
      <c r="A1" s="1" t="inlineStr">
        <is>
          <t>EXCEL vs SQL RECONCILIATION</t>
        </is>
      </c>
    </row>
    <row r="2">
      <c r="A2" s="2" t="inlineStr">
        <is>
          <t>Excel value is computed by formula on this workbook. Reference value comes from the SQL warehouse or the Python cash model. Scenario-specific rows follow CONTROL!B3.</t>
        </is>
      </c>
    </row>
    <row r="4">
      <c r="A4" s="13" t="inlineStr">
        <is>
          <t>check</t>
        </is>
      </c>
      <c r="B4" s="13" t="inlineStr">
        <is>
          <t>excel value</t>
        </is>
      </c>
      <c r="C4" s="13" t="inlineStr">
        <is>
          <t>reference value</t>
        </is>
      </c>
      <c r="D4" s="13" t="inlineStr">
        <is>
          <t>difference</t>
        </is>
      </c>
      <c r="E4" s="13" t="inlineStr">
        <is>
          <t>tolerance</t>
        </is>
      </c>
      <c r="F4" s="13" t="inlineStr">
        <is>
          <t>status</t>
        </is>
      </c>
      <c r="G4" s="13" t="inlineStr">
        <is>
          <t>note</t>
        </is>
      </c>
    </row>
    <row r="5">
      <c r="A5" s="2" t="inlineStr">
        <is>
          <t>ARR, latest actual month</t>
        </is>
      </c>
      <c r="B5" s="26">
        <f>DATA_ACTUALS!C37*12</f>
        <v/>
      </c>
      <c r="C5" s="26">
        <f>IFERROR(INDEX(DATA_SQL_CHECK!$B$2:$B$36,MATCH("arr_latest",DATA_SQL_CHECK!$A$2:$A$36,0)),"key missing")</f>
        <v/>
      </c>
      <c r="D5" s="27">
        <f>IFERROR(B5-C5,"n/a")</f>
        <v/>
      </c>
      <c r="E5" s="28">
        <f>IFERROR(INDEX(DATA_SQL_CHECK!$C$2:$C$36,MATCH("arr_latest",DATA_SQL_CHECK!$A$2:$A$36,0)),"")</f>
        <v/>
      </c>
      <c r="F5" s="30">
        <f>IF(AND(ISNUMBER(B5),ISNUMBER(C5)),IF(ABS(B5-C5)&lt;=E5,"PASS","FAIL"),"FAIL")</f>
        <v/>
      </c>
      <c r="G5" s="2" t="inlineStr">
        <is>
          <t>Sum of the fact table x 12</t>
        </is>
      </c>
    </row>
    <row r="6">
      <c r="A6" s="2" t="inlineStr">
        <is>
          <t>Net burn, trailing 3 months</t>
        </is>
      </c>
      <c r="B6" s="26">
        <f>AVERAGE(DATA_ACTUALS!P35:P37)</f>
        <v/>
      </c>
      <c r="C6" s="26">
        <f>IFERROR(INDEX(DATA_SQL_CHECK!$B$2:$B$36,MATCH("burn_3m_avg",DATA_SQL_CHECK!$A$2:$A$36,0)),"key missing")</f>
        <v/>
      </c>
      <c r="D6" s="27">
        <f>IFERROR(B6-C6,"n/a")</f>
        <v/>
      </c>
      <c r="E6" s="28">
        <f>IFERROR(INDEX(DATA_SQL_CHECK!$C$2:$C$36,MATCH("burn_3m_avg",DATA_SQL_CHECK!$A$2:$A$36,0)),"")</f>
        <v/>
      </c>
      <c r="F6" s="30">
        <f>IF(AND(ISNUMBER(B6),ISNUMBER(C6)),IF(ABS(B6-C6)&lt;=E6,"PASS","FAIL"),"FAIL")</f>
        <v/>
      </c>
      <c r="G6" s="2" t="inlineStr">
        <is>
          <t>Excel averages the actuals</t>
        </is>
      </c>
    </row>
    <row r="7">
      <c r="A7" s="2" t="inlineStr">
        <is>
          <t>ARR bridge, closing (latest month)</t>
        </is>
      </c>
      <c r="B7" s="26">
        <f>(DATA_ACTUALS!C36+DATA_ACTUALS!E37+DATA_ACTUALS!F37+DATA_ACTUALS!G37+DATA_ACTUALS!H37-DATA_ACTUALS!I37-DATA_ACTUALS!J37)*12</f>
        <v/>
      </c>
      <c r="C7" s="26">
        <f>IFERROR(INDEX(DATA_SQL_CHECK!$B$2:$B$36,MATCH("arr_bridge_closing_latest",DATA_SQL_CHECK!$A$2:$A$36,0)),"key missing")</f>
        <v/>
      </c>
      <c r="D7" s="27">
        <f>IFERROR(B7-C7,"n/a")</f>
        <v/>
      </c>
      <c r="E7" s="28">
        <f>IFERROR(INDEX(DATA_SQL_CHECK!$C$2:$C$36,MATCH("arr_bridge_closing_latest",DATA_SQL_CHECK!$A$2:$A$36,0)),"")</f>
        <v/>
      </c>
      <c r="F7" s="30">
        <f>IF(AND(ISNUMBER(B7),ISNUMBER(C7)),IF(ABS(B7-C7)&lt;=E7,"PASS","FAIL"),"FAIL")</f>
        <v/>
      </c>
      <c r="G7" s="2" t="inlineStr">
        <is>
          <t>Excel rebuilds opening + movements and must land on closing</t>
        </is>
      </c>
    </row>
    <row r="8">
      <c r="A8" s="2" t="inlineStr">
        <is>
          <t>CAC — channel row 1</t>
        </is>
      </c>
      <c r="B8" s="26">
        <f>CALC_UNIT_ECON!E5</f>
        <v/>
      </c>
      <c r="C8" s="26">
        <f>IFERROR(INDEX(DATA_SQL_CHECK!$B$2:$B$36,MATCH("cac__"&amp;DATA_CHANNELS!A2,DATA_SQL_CHECK!$A$2:$A$36,0)),"key missing")</f>
        <v/>
      </c>
      <c r="D8" s="27">
        <f>IFERROR(B8-C8,"n/a")</f>
        <v/>
      </c>
      <c r="E8" s="28">
        <f>IFERROR(INDEX(DATA_SQL_CHECK!$C$2:$C$36,MATCH("cac__"&amp;DATA_CHANNELS!A2,DATA_SQL_CHECK!$A$2:$A$36,0)),"")</f>
        <v/>
      </c>
      <c r="F8" s="30">
        <f>IF(AND(ISNUMBER(B8),ISNUMBER(C8)),IF(ABS(B8-C8)&lt;=E8,"PASS","FAIL"),"FAIL")</f>
        <v/>
      </c>
      <c r="G8" s="2" t="inlineStr">
        <is>
          <t>Formula from the cost pools</t>
        </is>
      </c>
    </row>
    <row r="9">
      <c r="A9" s="2" t="inlineStr">
        <is>
          <t>CAC payback — channel row 1</t>
        </is>
      </c>
      <c r="B9" s="26">
        <f>CALC_UNIT_ECON!G5</f>
        <v/>
      </c>
      <c r="C9" s="26">
        <f>IFERROR(INDEX(DATA_SQL_CHECK!$B$2:$B$36,MATCH("payback__"&amp;DATA_CHANNELS!A2,DATA_SQL_CHECK!$A$2:$A$36,0)),"key missing")</f>
        <v/>
      </c>
      <c r="D9" s="27">
        <f>IFERROR(B9-C9,"n/a")</f>
        <v/>
      </c>
      <c r="E9" s="28">
        <f>IFERROR(INDEX(DATA_SQL_CHECK!$C$2:$C$36,MATCH("payback__"&amp;DATA_CHANNELS!A2,DATA_SQL_CHECK!$A$2:$A$36,0)),"")</f>
        <v/>
      </c>
      <c r="F9" s="30">
        <f>IF(AND(ISNUMBER(B9),ISNUMBER(C9)),IF(ABS(B9-C9)&lt;=E9,"PASS","FAIL"),"FAIL")</f>
        <v/>
      </c>
      <c r="G9" s="2" t="inlineStr">
        <is>
          <t>CAC / monthly gross profit</t>
        </is>
      </c>
    </row>
    <row r="10">
      <c r="A10" s="2" t="inlineStr">
        <is>
          <t>LTV/CAC — channel row 1</t>
        </is>
      </c>
      <c r="B10" s="26">
        <f>CALC_UNIT_ECON!I5</f>
        <v/>
      </c>
      <c r="C10" s="26">
        <f>IFERROR(INDEX(DATA_SQL_CHECK!$B$2:$B$36,MATCH("ltvcac__"&amp;DATA_CHANNELS!A2,DATA_SQL_CHECK!$A$2:$A$36,0)),"key missing")</f>
        <v/>
      </c>
      <c r="D10" s="27">
        <f>IFERROR(B10-C10,"n/a")</f>
        <v/>
      </c>
      <c r="E10" s="28">
        <f>IFERROR(INDEX(DATA_SQL_CHECK!$C$2:$C$36,MATCH("ltvcac__"&amp;DATA_CHANNELS!A2,DATA_SQL_CHECK!$A$2:$A$36,0)),"")</f>
        <v/>
      </c>
      <c r="F10" s="30">
        <f>IF(AND(ISNUMBER(B10),ISNUMBER(C10)),IF(ABS(B10-C10)&lt;=E10,"PASS","FAIL"),"FAIL")</f>
        <v/>
      </c>
      <c r="G10" s="2" t="inlineStr">
        <is>
          <t>60-month NRR-based LTV</t>
        </is>
      </c>
    </row>
    <row r="11">
      <c r="A11" s="2" t="inlineStr">
        <is>
          <t>CAC — channel row 2</t>
        </is>
      </c>
      <c r="B11" s="26">
        <f>CALC_UNIT_ECON!E6</f>
        <v/>
      </c>
      <c r="C11" s="26">
        <f>IFERROR(INDEX(DATA_SQL_CHECK!$B$2:$B$36,MATCH("cac__"&amp;DATA_CHANNELS!A3,DATA_SQL_CHECK!$A$2:$A$36,0)),"key missing")</f>
        <v/>
      </c>
      <c r="D11" s="27">
        <f>IFERROR(B11-C11,"n/a")</f>
        <v/>
      </c>
      <c r="E11" s="28">
        <f>IFERROR(INDEX(DATA_SQL_CHECK!$C$2:$C$36,MATCH("cac__"&amp;DATA_CHANNELS!A3,DATA_SQL_CHECK!$A$2:$A$36,0)),"")</f>
        <v/>
      </c>
      <c r="F11" s="30">
        <f>IF(AND(ISNUMBER(B11),ISNUMBER(C11)),IF(ABS(B11-C11)&lt;=E11,"PASS","FAIL"),"FAIL")</f>
        <v/>
      </c>
      <c r="G11" s="2" t="inlineStr">
        <is>
          <t>Formula from the cost pools</t>
        </is>
      </c>
    </row>
    <row r="12">
      <c r="A12" s="2" t="inlineStr">
        <is>
          <t>CAC payback — channel row 2</t>
        </is>
      </c>
      <c r="B12" s="26">
        <f>CALC_UNIT_ECON!G6</f>
        <v/>
      </c>
      <c r="C12" s="26">
        <f>IFERROR(INDEX(DATA_SQL_CHECK!$B$2:$B$36,MATCH("payback__"&amp;DATA_CHANNELS!A3,DATA_SQL_CHECK!$A$2:$A$36,0)),"key missing")</f>
        <v/>
      </c>
      <c r="D12" s="27">
        <f>IFERROR(B12-C12,"n/a")</f>
        <v/>
      </c>
      <c r="E12" s="28">
        <f>IFERROR(INDEX(DATA_SQL_CHECK!$C$2:$C$36,MATCH("payback__"&amp;DATA_CHANNELS!A3,DATA_SQL_CHECK!$A$2:$A$36,0)),"")</f>
        <v/>
      </c>
      <c r="F12" s="30">
        <f>IF(AND(ISNUMBER(B12),ISNUMBER(C12)),IF(ABS(B12-C12)&lt;=E12,"PASS","FAIL"),"FAIL")</f>
        <v/>
      </c>
      <c r="G12" s="2" t="inlineStr">
        <is>
          <t>CAC / monthly gross profit</t>
        </is>
      </c>
    </row>
    <row r="13">
      <c r="A13" s="2" t="inlineStr">
        <is>
          <t>LTV/CAC — channel row 2</t>
        </is>
      </c>
      <c r="B13" s="26">
        <f>CALC_UNIT_ECON!I6</f>
        <v/>
      </c>
      <c r="C13" s="26">
        <f>IFERROR(INDEX(DATA_SQL_CHECK!$B$2:$B$36,MATCH("ltvcac__"&amp;DATA_CHANNELS!A3,DATA_SQL_CHECK!$A$2:$A$36,0)),"key missing")</f>
        <v/>
      </c>
      <c r="D13" s="27">
        <f>IFERROR(B13-C13,"n/a")</f>
        <v/>
      </c>
      <c r="E13" s="28">
        <f>IFERROR(INDEX(DATA_SQL_CHECK!$C$2:$C$36,MATCH("ltvcac__"&amp;DATA_CHANNELS!A3,DATA_SQL_CHECK!$A$2:$A$36,0)),"")</f>
        <v/>
      </c>
      <c r="F13" s="30">
        <f>IF(AND(ISNUMBER(B13),ISNUMBER(C13)),IF(ABS(B13-C13)&lt;=E13,"PASS","FAIL"),"FAIL")</f>
        <v/>
      </c>
      <c r="G13" s="2" t="inlineStr">
        <is>
          <t>60-month NRR-based LTV</t>
        </is>
      </c>
    </row>
    <row r="14">
      <c r="A14" s="2" t="inlineStr">
        <is>
          <t>CAC — channel row 3</t>
        </is>
      </c>
      <c r="B14" s="26">
        <f>CALC_UNIT_ECON!E7</f>
        <v/>
      </c>
      <c r="C14" s="26">
        <f>IFERROR(INDEX(DATA_SQL_CHECK!$B$2:$B$36,MATCH("cac__"&amp;DATA_CHANNELS!A4,DATA_SQL_CHECK!$A$2:$A$36,0)),"key missing")</f>
        <v/>
      </c>
      <c r="D14" s="27">
        <f>IFERROR(B14-C14,"n/a")</f>
        <v/>
      </c>
      <c r="E14" s="28">
        <f>IFERROR(INDEX(DATA_SQL_CHECK!$C$2:$C$36,MATCH("cac__"&amp;DATA_CHANNELS!A4,DATA_SQL_CHECK!$A$2:$A$36,0)),"")</f>
        <v/>
      </c>
      <c r="F14" s="30">
        <f>IF(AND(ISNUMBER(B14),ISNUMBER(C14)),IF(ABS(B14-C14)&lt;=E14,"PASS","FAIL"),"FAIL")</f>
        <v/>
      </c>
      <c r="G14" s="2" t="inlineStr">
        <is>
          <t>Formula from the cost pools</t>
        </is>
      </c>
    </row>
    <row r="15">
      <c r="A15" s="2" t="inlineStr">
        <is>
          <t>CAC payback — channel row 3</t>
        </is>
      </c>
      <c r="B15" s="26">
        <f>CALC_UNIT_ECON!G7</f>
        <v/>
      </c>
      <c r="C15" s="26">
        <f>IFERROR(INDEX(DATA_SQL_CHECK!$B$2:$B$36,MATCH("payback__"&amp;DATA_CHANNELS!A4,DATA_SQL_CHECK!$A$2:$A$36,0)),"key missing")</f>
        <v/>
      </c>
      <c r="D15" s="27">
        <f>IFERROR(B15-C15,"n/a")</f>
        <v/>
      </c>
      <c r="E15" s="28">
        <f>IFERROR(INDEX(DATA_SQL_CHECK!$C$2:$C$36,MATCH("payback__"&amp;DATA_CHANNELS!A4,DATA_SQL_CHECK!$A$2:$A$36,0)),"")</f>
        <v/>
      </c>
      <c r="F15" s="30">
        <f>IF(AND(ISNUMBER(B15),ISNUMBER(C15)),IF(ABS(B15-C15)&lt;=E15,"PASS","FAIL"),"FAIL")</f>
        <v/>
      </c>
      <c r="G15" s="2" t="inlineStr">
        <is>
          <t>CAC / monthly gross profit</t>
        </is>
      </c>
    </row>
    <row r="16">
      <c r="A16" s="2" t="inlineStr">
        <is>
          <t>LTV/CAC — channel row 3</t>
        </is>
      </c>
      <c r="B16" s="26">
        <f>CALC_UNIT_ECON!I7</f>
        <v/>
      </c>
      <c r="C16" s="26">
        <f>IFERROR(INDEX(DATA_SQL_CHECK!$B$2:$B$36,MATCH("ltvcac__"&amp;DATA_CHANNELS!A4,DATA_SQL_CHECK!$A$2:$A$36,0)),"key missing")</f>
        <v/>
      </c>
      <c r="D16" s="27">
        <f>IFERROR(B16-C16,"n/a")</f>
        <v/>
      </c>
      <c r="E16" s="28">
        <f>IFERROR(INDEX(DATA_SQL_CHECK!$C$2:$C$36,MATCH("ltvcac__"&amp;DATA_CHANNELS!A4,DATA_SQL_CHECK!$A$2:$A$36,0)),"")</f>
        <v/>
      </c>
      <c r="F16" s="30">
        <f>IF(AND(ISNUMBER(B16),ISNUMBER(C16)),IF(ABS(B16-C16)&lt;=E16,"PASS","FAIL"),"FAIL")</f>
        <v/>
      </c>
      <c r="G16" s="2" t="inlineStr">
        <is>
          <t>60-month NRR-based LTV</t>
        </is>
      </c>
    </row>
    <row r="17">
      <c r="A17" s="2" t="inlineStr">
        <is>
          <t>CAC — channel row 4</t>
        </is>
      </c>
      <c r="B17" s="26">
        <f>CALC_UNIT_ECON!E8</f>
        <v/>
      </c>
      <c r="C17" s="26">
        <f>IFERROR(INDEX(DATA_SQL_CHECK!$B$2:$B$36,MATCH("cac__"&amp;DATA_CHANNELS!A5,DATA_SQL_CHECK!$A$2:$A$36,0)),"key missing")</f>
        <v/>
      </c>
      <c r="D17" s="27">
        <f>IFERROR(B17-C17,"n/a")</f>
        <v/>
      </c>
      <c r="E17" s="28">
        <f>IFERROR(INDEX(DATA_SQL_CHECK!$C$2:$C$36,MATCH("cac__"&amp;DATA_CHANNELS!A5,DATA_SQL_CHECK!$A$2:$A$36,0)),"")</f>
        <v/>
      </c>
      <c r="F17" s="30">
        <f>IF(AND(ISNUMBER(B17),ISNUMBER(C17)),IF(ABS(B17-C17)&lt;=E17,"PASS","FAIL"),"FAIL")</f>
        <v/>
      </c>
      <c r="G17" s="2" t="inlineStr">
        <is>
          <t>Formula from the cost pools</t>
        </is>
      </c>
    </row>
    <row r="18">
      <c r="A18" s="2" t="inlineStr">
        <is>
          <t>CAC payback — channel row 4</t>
        </is>
      </c>
      <c r="B18" s="26">
        <f>CALC_UNIT_ECON!G8</f>
        <v/>
      </c>
      <c r="C18" s="26">
        <f>IFERROR(INDEX(DATA_SQL_CHECK!$B$2:$B$36,MATCH("payback__"&amp;DATA_CHANNELS!A5,DATA_SQL_CHECK!$A$2:$A$36,0)),"key missing")</f>
        <v/>
      </c>
      <c r="D18" s="27">
        <f>IFERROR(B18-C18,"n/a")</f>
        <v/>
      </c>
      <c r="E18" s="28">
        <f>IFERROR(INDEX(DATA_SQL_CHECK!$C$2:$C$36,MATCH("payback__"&amp;DATA_CHANNELS!A5,DATA_SQL_CHECK!$A$2:$A$36,0)),"")</f>
        <v/>
      </c>
      <c r="F18" s="30">
        <f>IF(AND(ISNUMBER(B18),ISNUMBER(C18)),IF(ABS(B18-C18)&lt;=E18,"PASS","FAIL"),"FAIL")</f>
        <v/>
      </c>
      <c r="G18" s="2" t="inlineStr">
        <is>
          <t>CAC / monthly gross profit</t>
        </is>
      </c>
    </row>
    <row r="19">
      <c r="A19" s="2" t="inlineStr">
        <is>
          <t>LTV/CAC — channel row 4</t>
        </is>
      </c>
      <c r="B19" s="26">
        <f>CALC_UNIT_ECON!I8</f>
        <v/>
      </c>
      <c r="C19" s="26">
        <f>IFERROR(INDEX(DATA_SQL_CHECK!$B$2:$B$36,MATCH("ltvcac__"&amp;DATA_CHANNELS!A5,DATA_SQL_CHECK!$A$2:$A$36,0)),"key missing")</f>
        <v/>
      </c>
      <c r="D19" s="27">
        <f>IFERROR(B19-C19,"n/a")</f>
        <v/>
      </c>
      <c r="E19" s="28">
        <f>IFERROR(INDEX(DATA_SQL_CHECK!$C$2:$C$36,MATCH("ltvcac__"&amp;DATA_CHANNELS!A5,DATA_SQL_CHECK!$A$2:$A$36,0)),"")</f>
        <v/>
      </c>
      <c r="F19" s="30">
        <f>IF(AND(ISNUMBER(B19),ISNUMBER(C19)),IF(ABS(B19-C19)&lt;=E19,"PASS","FAIL"),"FAIL")</f>
        <v/>
      </c>
      <c r="G19" s="2" t="inlineStr">
        <is>
          <t>60-month NRR-based LTV</t>
        </is>
      </c>
    </row>
    <row r="20">
      <c r="A20" s="2" t="inlineStr">
        <is>
          <t>CAC — channel row 5</t>
        </is>
      </c>
      <c r="B20" s="26">
        <f>CALC_UNIT_ECON!E9</f>
        <v/>
      </c>
      <c r="C20" s="26">
        <f>IFERROR(INDEX(DATA_SQL_CHECK!$B$2:$B$36,MATCH("cac__"&amp;DATA_CHANNELS!A6,DATA_SQL_CHECK!$A$2:$A$36,0)),"key missing")</f>
        <v/>
      </c>
      <c r="D20" s="27">
        <f>IFERROR(B20-C20,"n/a")</f>
        <v/>
      </c>
      <c r="E20" s="28">
        <f>IFERROR(INDEX(DATA_SQL_CHECK!$C$2:$C$36,MATCH("cac__"&amp;DATA_CHANNELS!A6,DATA_SQL_CHECK!$A$2:$A$36,0)),"")</f>
        <v/>
      </c>
      <c r="F20" s="30">
        <f>IF(AND(ISNUMBER(B20),ISNUMBER(C20)),IF(ABS(B20-C20)&lt;=E20,"PASS","FAIL"),"FAIL")</f>
        <v/>
      </c>
      <c r="G20" s="2" t="inlineStr">
        <is>
          <t>Formula from the cost pools</t>
        </is>
      </c>
    </row>
    <row r="21">
      <c r="A21" s="2" t="inlineStr">
        <is>
          <t>CAC payback — channel row 5</t>
        </is>
      </c>
      <c r="B21" s="26">
        <f>CALC_UNIT_ECON!G9</f>
        <v/>
      </c>
      <c r="C21" s="26">
        <f>IFERROR(INDEX(DATA_SQL_CHECK!$B$2:$B$36,MATCH("payback__"&amp;DATA_CHANNELS!A6,DATA_SQL_CHECK!$A$2:$A$36,0)),"key missing")</f>
        <v/>
      </c>
      <c r="D21" s="27">
        <f>IFERROR(B21-C21,"n/a")</f>
        <v/>
      </c>
      <c r="E21" s="28">
        <f>IFERROR(INDEX(DATA_SQL_CHECK!$C$2:$C$36,MATCH("payback__"&amp;DATA_CHANNELS!A6,DATA_SQL_CHECK!$A$2:$A$36,0)),"")</f>
        <v/>
      </c>
      <c r="F21" s="30">
        <f>IF(AND(ISNUMBER(B21),ISNUMBER(C21)),IF(ABS(B21-C21)&lt;=E21,"PASS","FAIL"),"FAIL")</f>
        <v/>
      </c>
      <c r="G21" s="2" t="inlineStr">
        <is>
          <t>CAC / monthly gross profit</t>
        </is>
      </c>
    </row>
    <row r="22">
      <c r="A22" s="2" t="inlineStr">
        <is>
          <t>LTV/CAC — channel row 5</t>
        </is>
      </c>
      <c r="B22" s="26">
        <f>CALC_UNIT_ECON!I9</f>
        <v/>
      </c>
      <c r="C22" s="26">
        <f>IFERROR(INDEX(DATA_SQL_CHECK!$B$2:$B$36,MATCH("ltvcac__"&amp;DATA_CHANNELS!A6,DATA_SQL_CHECK!$A$2:$A$36,0)),"key missing")</f>
        <v/>
      </c>
      <c r="D22" s="27">
        <f>IFERROR(B22-C22,"n/a")</f>
        <v/>
      </c>
      <c r="E22" s="28">
        <f>IFERROR(INDEX(DATA_SQL_CHECK!$C$2:$C$36,MATCH("ltvcac__"&amp;DATA_CHANNELS!A6,DATA_SQL_CHECK!$A$2:$A$36,0)),"")</f>
        <v/>
      </c>
      <c r="F22" s="30">
        <f>IF(AND(ISNUMBER(B22),ISNUMBER(C22)),IF(ABS(B22-C22)&lt;=E22,"PASS","FAIL"),"FAIL")</f>
        <v/>
      </c>
      <c r="G22" s="2" t="inlineStr">
        <is>
          <t>60-month NRR-based LTV</t>
        </is>
      </c>
    </row>
    <row r="23">
      <c r="A23" s="2" t="inlineStr">
        <is>
          <t>CAC — channel row 6</t>
        </is>
      </c>
      <c r="B23" s="26">
        <f>CALC_UNIT_ECON!E10</f>
        <v/>
      </c>
      <c r="C23" s="26">
        <f>IFERROR(INDEX(DATA_SQL_CHECK!$B$2:$B$36,MATCH("cac__"&amp;DATA_CHANNELS!A7,DATA_SQL_CHECK!$A$2:$A$36,0)),"key missing")</f>
        <v/>
      </c>
      <c r="D23" s="27">
        <f>IFERROR(B23-C23,"n/a")</f>
        <v/>
      </c>
      <c r="E23" s="28">
        <f>IFERROR(INDEX(DATA_SQL_CHECK!$C$2:$C$36,MATCH("cac__"&amp;DATA_CHANNELS!A7,DATA_SQL_CHECK!$A$2:$A$36,0)),"")</f>
        <v/>
      </c>
      <c r="F23" s="30">
        <f>IF(AND(ISNUMBER(B23),ISNUMBER(C23)),IF(ABS(B23-C23)&lt;=E23,"PASS","FAIL"),"FAIL")</f>
        <v/>
      </c>
      <c r="G23" s="2" t="inlineStr">
        <is>
          <t>Formula from the cost pools</t>
        </is>
      </c>
    </row>
    <row r="24">
      <c r="A24" s="2" t="inlineStr">
        <is>
          <t>CAC payback — channel row 6</t>
        </is>
      </c>
      <c r="B24" s="26">
        <f>CALC_UNIT_ECON!G10</f>
        <v/>
      </c>
      <c r="C24" s="26">
        <f>IFERROR(INDEX(DATA_SQL_CHECK!$B$2:$B$36,MATCH("payback__"&amp;DATA_CHANNELS!A7,DATA_SQL_CHECK!$A$2:$A$36,0)),"key missing")</f>
        <v/>
      </c>
      <c r="D24" s="27">
        <f>IFERROR(B24-C24,"n/a")</f>
        <v/>
      </c>
      <c r="E24" s="28">
        <f>IFERROR(INDEX(DATA_SQL_CHECK!$C$2:$C$36,MATCH("payback__"&amp;DATA_CHANNELS!A7,DATA_SQL_CHECK!$A$2:$A$36,0)),"")</f>
        <v/>
      </c>
      <c r="F24" s="30">
        <f>IF(AND(ISNUMBER(B24),ISNUMBER(C24)),IF(ABS(B24-C24)&lt;=E24,"PASS","FAIL"),"FAIL")</f>
        <v/>
      </c>
      <c r="G24" s="2" t="inlineStr">
        <is>
          <t>CAC / monthly gross profit</t>
        </is>
      </c>
    </row>
    <row r="25">
      <c r="A25" s="2" t="inlineStr">
        <is>
          <t>LTV/CAC — channel row 6</t>
        </is>
      </c>
      <c r="B25" s="26">
        <f>CALC_UNIT_ECON!I10</f>
        <v/>
      </c>
      <c r="C25" s="26">
        <f>IFERROR(INDEX(DATA_SQL_CHECK!$B$2:$B$36,MATCH("ltvcac__"&amp;DATA_CHANNELS!A7,DATA_SQL_CHECK!$A$2:$A$36,0)),"key missing")</f>
        <v/>
      </c>
      <c r="D25" s="27">
        <f>IFERROR(B25-C25,"n/a")</f>
        <v/>
      </c>
      <c r="E25" s="28">
        <f>IFERROR(INDEX(DATA_SQL_CHECK!$C$2:$C$36,MATCH("ltvcac__"&amp;DATA_CHANNELS!A7,DATA_SQL_CHECK!$A$2:$A$36,0)),"")</f>
        <v/>
      </c>
      <c r="F25" s="30">
        <f>IF(AND(ISNUMBER(B25),ISNUMBER(C25)),IF(ABS(B25-C25)&lt;=E25,"PASS","FAIL"),"FAIL")</f>
        <v/>
      </c>
      <c r="G25" s="2" t="inlineStr">
        <is>
          <t>60-month NRR-based LTV</t>
        </is>
      </c>
    </row>
    <row r="26">
      <c r="A26" s="2" t="inlineStr">
        <is>
          <t>Cash at month 18 (active scenario)</t>
        </is>
      </c>
      <c r="B26" s="26">
        <f>CALC_FORECAST!AA63</f>
        <v/>
      </c>
      <c r="C26" s="26">
        <f>IFERROR(INDEX(DATA_SQL_CHECK!$B$2:$B$36,MATCH("cash_m18__"&amp;CONTROL!$B$3,DATA_SQL_CHECK!$A$2:$A$36,0)),"key missing")</f>
        <v/>
      </c>
      <c r="D26" s="27">
        <f>IFERROR(B26-C26,"n/a")</f>
        <v/>
      </c>
      <c r="E26" s="28">
        <f>IFERROR(INDEX(DATA_SQL_CHECK!$C$2:$C$36,MATCH("cash_m18__"&amp;CONTROL!$B$3,DATA_SQL_CHECK!$A$2:$A$36,0)),"")</f>
        <v/>
      </c>
      <c r="F26" s="30">
        <f>IF(AND(ISNUMBER(B26),ISNUMBER(C26)),IF(ABS(B26-C26)&lt;=E26,"PASS","FAIL"),"FAIL")</f>
        <v/>
      </c>
      <c r="G26" s="2" t="inlineStr">
        <is>
          <t>Follows the scenario switch</t>
        </is>
      </c>
    </row>
    <row r="27">
      <c r="A27" s="2" t="inlineStr">
        <is>
          <t>ARR at month 18 (active scenario)</t>
        </is>
      </c>
      <c r="B27" s="26">
        <f>CALC_FORECAST!Q63*12</f>
        <v/>
      </c>
      <c r="C27" s="26">
        <f>IFERROR(INDEX(DATA_SQL_CHECK!$B$2:$B$36,MATCH("arr_m18__"&amp;CONTROL!$B$3,DATA_SQL_CHECK!$A$2:$A$36,0)),"key missing")</f>
        <v/>
      </c>
      <c r="D27" s="27">
        <f>IFERROR(B27-C27,"n/a")</f>
        <v/>
      </c>
      <c r="E27" s="28">
        <f>IFERROR(INDEX(DATA_SQL_CHECK!$C$2:$C$36,MATCH("arr_m18__"&amp;CONTROL!$B$3,DATA_SQL_CHECK!$A$2:$A$36,0)),"")</f>
        <v/>
      </c>
      <c r="F27" s="30">
        <f>IF(AND(ISNUMBER(B27),ISNUMBER(C27)),IF(ABS(B27-C27)&lt;=E27,"PASS","FAIL"),"FAIL")</f>
        <v/>
      </c>
      <c r="G27" s="2" t="inlineStr">
        <is>
          <t>Follows the scenario switch</t>
        </is>
      </c>
    </row>
    <row r="28">
      <c r="A28" s="2" t="inlineStr">
        <is>
          <t>Incremental ARR at month 18 (active)</t>
        </is>
      </c>
      <c r="B28" s="26">
        <f>CALC_FORECAST!P63*12</f>
        <v/>
      </c>
      <c r="C28" s="26">
        <f>IFERROR(INDEX(DATA_SQL_CHECK!$B$2:$B$36,MATCH("delta_arr_m18__"&amp;CONTROL!$B$3,DATA_SQL_CHECK!$A$2:$A$36,0)),"key missing")</f>
        <v/>
      </c>
      <c r="D28" s="27">
        <f>IFERROR(B28-C28,"n/a")</f>
        <v/>
      </c>
      <c r="E28" s="28">
        <f>IFERROR(INDEX(DATA_SQL_CHECK!$C$2:$C$36,MATCH("delta_arr_m18__"&amp;CONTROL!$B$3,DATA_SQL_CHECK!$A$2:$A$36,0)),"")</f>
        <v/>
      </c>
      <c r="F28" s="30">
        <f>IF(AND(ISNUMBER(B28),ISNUMBER(C28)),IF(ABS(B28-C28)&lt;=E28,"PASS","FAIL"),"FAIL")</f>
        <v/>
      </c>
      <c r="G28" s="2" t="inlineStr">
        <is>
          <t>Follows the scenario switch</t>
        </is>
      </c>
    </row>
    <row r="30">
      <c r="A30" s="3" t="inlineStr">
        <is>
          <t>OVERALL</t>
        </is>
      </c>
      <c r="B30" s="2">
        <f>COUNTIF(F5:F28,"PASS")&amp;" / "&amp;24&amp;" PASS"</f>
        <v/>
      </c>
      <c r="C30" s="2">
        <f>IF(COUNTIF(F5:F28,"FAIL")=0,"ALL CHECKS PASS",COUNTIF(F5:F28,"FAIL")&amp;" FAILING")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2026-09-16T13:27:50Z</dcterms:created>
  <dcterms:modified xsi:type="dcterms:W3CDTF">2026-09-16T13:27:50Z</dcterms:modified>
</cp:coreProperties>
</file>